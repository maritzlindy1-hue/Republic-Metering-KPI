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publicmeteringcoza-my.sharepoint.com/personal/susan_republicmetering_co_za/Documents/REM Things/Reporting CT/20260602/"/>
    </mc:Choice>
  </mc:AlternateContent>
  <xr:revisionPtr revIDLastSave="170" documentId="11_3DE6C577FDA76846231E5A05B8F3AE646336315F" xr6:coauthVersionLast="47" xr6:coauthVersionMax="47" xr10:uidLastSave="{E42DBDC8-E4F7-5940-9BF7-4405ED8C9BA6}"/>
  <bookViews>
    <workbookView xWindow="0" yWindow="600" windowWidth="28160" windowHeight="17020" xr2:uid="{00000000-000D-0000-FFFF-FFFF00000000}"/>
  </bookViews>
  <sheets>
    <sheet name="Report Quote List" sheetId="1" r:id="rId1"/>
  </sheets>
  <definedNames>
    <definedName name="_xlnm._FilterDatabase" localSheetId="0" hidden="1">'Report Quote List'!$A$1:$AA$636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81" i="1" l="1"/>
  <c r="K381" i="1"/>
  <c r="K2" i="1" l="1"/>
</calcChain>
</file>

<file path=xl/sharedStrings.xml><?xml version="1.0" encoding="utf-8"?>
<sst xmlns="http://schemas.openxmlformats.org/spreadsheetml/2006/main" count="8894" uniqueCount="3881">
  <si>
    <t>Quote Number</t>
  </si>
  <si>
    <t>Customer Name</t>
  </si>
  <si>
    <t>Location Description</t>
  </si>
  <si>
    <t>Address Line 1</t>
  </si>
  <si>
    <t>Reference</t>
  </si>
  <si>
    <t>Quote Date</t>
  </si>
  <si>
    <t>Expiry Date</t>
  </si>
  <si>
    <t>Item Reference</t>
  </si>
  <si>
    <t>Total Exclusive</t>
  </si>
  <si>
    <t>Amount Due</t>
  </si>
  <si>
    <t>Created Date</t>
  </si>
  <si>
    <t>Created By</t>
  </si>
  <si>
    <t>Modified By</t>
  </si>
  <si>
    <t>Modified Date</t>
  </si>
  <si>
    <t/>
  </si>
  <si>
    <t>susan@republicmetering.co.za</t>
  </si>
  <si>
    <t>CASH SALES</t>
  </si>
  <si>
    <t>CS10003</t>
  </si>
  <si>
    <t>ingrid@republicmetering.co.za</t>
  </si>
  <si>
    <t>zoe@republicmetering.co.za</t>
  </si>
  <si>
    <t>QU10008</t>
  </si>
  <si>
    <t>Bidfood - Chipkins &amp; Crown National - Smart Electrical Metering</t>
  </si>
  <si>
    <t>2025-08-18 00:00:00</t>
  </si>
  <si>
    <t>2025-09-17 00:00:00</t>
  </si>
  <si>
    <t>2025-08-18 08:51:15</t>
  </si>
  <si>
    <t>2025-08-26 15:50:01</t>
  </si>
  <si>
    <t>QU10009</t>
  </si>
  <si>
    <t>Bidfood - Smart Electrical Metering - Meter Commissioning</t>
  </si>
  <si>
    <t>2025-08-18 08:53:42</t>
  </si>
  <si>
    <t>2025-08-25 16:09:04</t>
  </si>
  <si>
    <t>QU10010</t>
  </si>
  <si>
    <t>Klarey Property Group - CTC Legal Chambers - Smart Electrical metering</t>
  </si>
  <si>
    <t>2025-08-18 14:29:12</t>
  </si>
  <si>
    <t>2025-08-18 15:58:21</t>
  </si>
  <si>
    <t>QU10011</t>
  </si>
  <si>
    <t>Wild Oke (Pty) Ltd</t>
  </si>
  <si>
    <t>Croft Street</t>
  </si>
  <si>
    <t>Antony Wannell</t>
  </si>
  <si>
    <t>OLD_Croft Street - House and Flat - Water Meter Replacement</t>
  </si>
  <si>
    <t>JC10779</t>
  </si>
  <si>
    <t>2025-08-18 15:00:57</t>
  </si>
  <si>
    <t>2026-05-05 09:35:35</t>
  </si>
  <si>
    <t>QU10012</t>
  </si>
  <si>
    <t>PEC Utility Management (Pty) Ltd - Stock Sale - Water Meters</t>
  </si>
  <si>
    <t>2025-08-20 00:00:00</t>
  </si>
  <si>
    <t>2025-09-19 00:00:00</t>
  </si>
  <si>
    <t>2025-08-18 15:07:37</t>
  </si>
  <si>
    <t>2025-08-21 11:58:56</t>
  </si>
  <si>
    <t>QU10013</t>
  </si>
  <si>
    <t>Naledi Mall (Pty) Ltd</t>
  </si>
  <si>
    <t>CS10188</t>
  </si>
  <si>
    <t>Dolphins Leap</t>
  </si>
  <si>
    <t>Dolphins Leap - Shop 07 - Water Meter Replacement</t>
  </si>
  <si>
    <t>2025-08-18 15:10:44</t>
  </si>
  <si>
    <t>2025-08-26 13:59:16</t>
  </si>
  <si>
    <t>QU10015</t>
  </si>
  <si>
    <t>Nanaga Farm Stall - Smart Electrical Metering</t>
  </si>
  <si>
    <t>2025-08-19 00:00:00</t>
  </si>
  <si>
    <t>2025-09-18 00:00:00</t>
  </si>
  <si>
    <t>2025-08-19 14:29:04</t>
  </si>
  <si>
    <t>2026-02-17 13:41:01</t>
  </si>
  <si>
    <t>QU10016</t>
  </si>
  <si>
    <t>Moneyline 155 (Pty) Ltd</t>
  </si>
  <si>
    <t>CS10182</t>
  </si>
  <si>
    <t>Zutari</t>
  </si>
  <si>
    <t>2 Stewart Drive</t>
  </si>
  <si>
    <t>Zutari - Smart Electrical Metering</t>
  </si>
  <si>
    <t>2025-08-19 15:39:06</t>
  </si>
  <si>
    <t>2026-02-17 13:39:44</t>
  </si>
  <si>
    <t>QU10017</t>
  </si>
  <si>
    <t>Power Meaurement and Distribution - Stock Sale</t>
  </si>
  <si>
    <t>2025-08-20 08:29:42</t>
  </si>
  <si>
    <t>2025-08-21 08:38:12</t>
  </si>
  <si>
    <t>QU10018</t>
  </si>
  <si>
    <t>Styleprops 163 (Pty) Ltd</t>
  </si>
  <si>
    <t>CS10253</t>
  </si>
  <si>
    <t>Gonubie Centre</t>
  </si>
  <si>
    <t>Maid Rd</t>
  </si>
  <si>
    <t>Gonubie Centre - Flat 9 and 12 - Water Meter Replacement</t>
  </si>
  <si>
    <t>2025-08-20 09:56:45</t>
  </si>
  <si>
    <t>2025-08-22 08:43:17</t>
  </si>
  <si>
    <t>QU2990</t>
  </si>
  <si>
    <t>Rhino Energy Solutions (Pty) Ltd</t>
  </si>
  <si>
    <t>CS10604</t>
  </si>
  <si>
    <t>Head Office</t>
  </si>
  <si>
    <t>1st floor, DQ Suites, Building 3</t>
  </si>
  <si>
    <t>Stock Sale - 3PH Meters</t>
  </si>
  <si>
    <t>2025-08-20 15:49:52</t>
  </si>
  <si>
    <t>2025-08-21 12:10:43</t>
  </si>
  <si>
    <t>QU2991</t>
  </si>
  <si>
    <t>Distribution Centre</t>
  </si>
  <si>
    <t>Portion Farm 764,</t>
  </si>
  <si>
    <t>Brakfontein Farm/Distribution Centre - Smart Electrical Metering - Unit 3B</t>
  </si>
  <si>
    <t>2025-08-20 16:13:29</t>
  </si>
  <si>
    <t>2026-02-17 13:42:51</t>
  </si>
  <si>
    <t>QU2994</t>
  </si>
  <si>
    <t>Choice Decisions 80 CC / Western Gruppe Properties (Pty) Ltd Monitoring</t>
  </si>
  <si>
    <t>CS10066</t>
  </si>
  <si>
    <t>Southernwood Centre - Main Water Meter - Repeater</t>
  </si>
  <si>
    <t>2025-08-21 00:00:00</t>
  </si>
  <si>
    <t>2025-09-20 00:00:00</t>
  </si>
  <si>
    <t>2025-08-21 08:42:24</t>
  </si>
  <si>
    <t>2026-02-17 13:37:02</t>
  </si>
  <si>
    <t>QU2995</t>
  </si>
  <si>
    <t>Emerald Sky Trading 736 (Pty) Ltd</t>
  </si>
  <si>
    <t>CS10688</t>
  </si>
  <si>
    <t>72 Peter Place</t>
  </si>
  <si>
    <t>Top T East London - Smart Electrical Metering</t>
  </si>
  <si>
    <t>2025-08-21 09:34:32</t>
  </si>
  <si>
    <t>2026-02-17 13:51:40</t>
  </si>
  <si>
    <t>QU2996</t>
  </si>
  <si>
    <t>Inospace 5 Proprietary Limited [Allandale Exchange]</t>
  </si>
  <si>
    <t>CS10143</t>
  </si>
  <si>
    <t>Postal</t>
  </si>
  <si>
    <t>917 Morkel's Place</t>
  </si>
  <si>
    <t>Allandale Exchange - Smart Water Metering</t>
  </si>
  <si>
    <t>2025-08-21 09:41:14</t>
  </si>
  <si>
    <t>2025-08-21 16:20:25</t>
  </si>
  <si>
    <t>QU2997</t>
  </si>
  <si>
    <t>SKG Power</t>
  </si>
  <si>
    <t>CS10397</t>
  </si>
  <si>
    <t>Street</t>
  </si>
  <si>
    <t>Beacon Bay Crossing, c/o N2 &amp; Bonza Bay Rd</t>
  </si>
  <si>
    <t>Centurion - Stock Sale (Electricity)</t>
  </si>
  <si>
    <t>2025-08-21 09:49:43</t>
  </si>
  <si>
    <t>2026-02-17 13:38:13</t>
  </si>
  <si>
    <t>QU2998</t>
  </si>
  <si>
    <t>Thermelec</t>
  </si>
  <si>
    <t>CS10275</t>
  </si>
  <si>
    <t>Physical</t>
  </si>
  <si>
    <t>Unknown</t>
  </si>
  <si>
    <t>P O Box 5141</t>
  </si>
  <si>
    <t>Port Elizabeth</t>
  </si>
  <si>
    <t>80 Burman Rd - Smart Electrical Metering (stock)</t>
  </si>
  <si>
    <t>2025-09-04 00:00:00</t>
  </si>
  <si>
    <t>2025-10-03 00:00:00</t>
  </si>
  <si>
    <t>2025-08-21 12:45:46</t>
  </si>
  <si>
    <t>2026-02-17 13:44:10</t>
  </si>
  <si>
    <t>QU2999</t>
  </si>
  <si>
    <t>Hamilton Russell Vineyards</t>
  </si>
  <si>
    <t>Farm</t>
  </si>
  <si>
    <t>Hemel-en-Aarde Valley</t>
  </si>
  <si>
    <t>Hamilton Russell Vineyards - Smart Electrical Metering</t>
  </si>
  <si>
    <t>QRY10004</t>
  </si>
  <si>
    <t>2025-08-21 15:06:12</t>
  </si>
  <si>
    <t>joanne@republicmetering.co.za</t>
  </si>
  <si>
    <t>2025-08-29 09:35:22</t>
  </si>
  <si>
    <t>QU3001</t>
  </si>
  <si>
    <t>Smartt Tech Solutions (Pty) Ltd</t>
  </si>
  <si>
    <t>CS10670</t>
  </si>
  <si>
    <t>PR036 BBC (Beacon Bay Crossing)</t>
  </si>
  <si>
    <t>2nd Floor Beacon Bay Crossing</t>
  </si>
  <si>
    <t>PR210 Infotech - Muni Check - Smart Electrical &amp; Water Metering (previous quoteQU-2785)</t>
  </si>
  <si>
    <t>2025-08-26 00:00:00</t>
  </si>
  <si>
    <t>2025-09-25 00:00:00</t>
  </si>
  <si>
    <t>2025-08-26 09:23:50</t>
  </si>
  <si>
    <t>2025-08-26 10:04:03</t>
  </si>
  <si>
    <t>QU3002</t>
  </si>
  <si>
    <t>Luken Solar EL (Pty) Ltd</t>
  </si>
  <si>
    <t>CS10528</t>
  </si>
  <si>
    <t>3 Kloof Street</t>
  </si>
  <si>
    <t>Thompson Farming - Glen Roy Abbatoir - Electrical Fault Fix</t>
  </si>
  <si>
    <t>2025-08-26 09:27:46</t>
  </si>
  <si>
    <t>2026-02-17 13:43:36</t>
  </si>
  <si>
    <t>QU3003</t>
  </si>
  <si>
    <t>Bridget Claire CC</t>
  </si>
  <si>
    <t>CS10050</t>
  </si>
  <si>
    <t>Sandton Square</t>
  </si>
  <si>
    <t>Site Manager</t>
  </si>
  <si>
    <t>Sandton Square - Smart Water Metering - Replacement of Stolen meters</t>
  </si>
  <si>
    <t>2025-08-26 14:45:05</t>
  </si>
  <si>
    <t>2025-08-26 14:49:12</t>
  </si>
  <si>
    <t>QU3004</t>
  </si>
  <si>
    <t>4 Fairford Ave</t>
  </si>
  <si>
    <t>Sandton Square - Smart Water metering - Site Retrofit</t>
  </si>
  <si>
    <t>2025-08-26 14:45:41</t>
  </si>
  <si>
    <t>2026-02-17 13:38:59</t>
  </si>
  <si>
    <t>QU3005</t>
  </si>
  <si>
    <t>Summerpride Foods (Pty) Ltd</t>
  </si>
  <si>
    <t>CS10255</t>
  </si>
  <si>
    <t>Summerpride</t>
  </si>
  <si>
    <t>Dynamic Brands DB 2 - Modem Replacement</t>
  </si>
  <si>
    <t>2025-08-27 00:00:00</t>
  </si>
  <si>
    <t>2025-09-26 00:00:00</t>
  </si>
  <si>
    <t>2025-08-27 09:29:57</t>
  </si>
  <si>
    <t>2026-01-07 08:12:50</t>
  </si>
  <si>
    <t>QU3006</t>
  </si>
  <si>
    <t>InoFort Proprietary Limited [Powder Mill]</t>
  </si>
  <si>
    <t>CS10135</t>
  </si>
  <si>
    <t>Powder Mill</t>
  </si>
  <si>
    <t>Office 01A + 01B - Modem Replacement</t>
  </si>
  <si>
    <t>2025-08-27 11:02:00</t>
  </si>
  <si>
    <t>2026-02-17 14:32:02</t>
  </si>
  <si>
    <t>QU3007</t>
  </si>
  <si>
    <t>Avery Dennison - Smart Electrical Metering (Blue Sun Energy)</t>
  </si>
  <si>
    <t>2025-08-27 11:13:13</t>
  </si>
  <si>
    <t>2025-08-27 14:45:07</t>
  </si>
  <si>
    <t>QU3009</t>
  </si>
  <si>
    <t>Trueprop Commercial Properties (Pty) Ltd</t>
  </si>
  <si>
    <t>CS10701</t>
  </si>
  <si>
    <t>Corner Madiba Drive and Andrews Street Nelspruit</t>
  </si>
  <si>
    <t>City Centre Nelspruit</t>
  </si>
  <si>
    <t>2025-08-29 00:00:00</t>
  </si>
  <si>
    <t>2025-09-28 00:00:00</t>
  </si>
  <si>
    <t>2025-08-29 14:26:11</t>
  </si>
  <si>
    <t>2025-08-29 15:56:24</t>
  </si>
  <si>
    <t>2025-09-29 00:00:00</t>
  </si>
  <si>
    <t>QU3013</t>
  </si>
  <si>
    <t>ACP Properties</t>
  </si>
  <si>
    <t>CS10702</t>
  </si>
  <si>
    <t>Greenbushes Industrial Park</t>
  </si>
  <si>
    <t>Smart Electrical &amp; Water Metering</t>
  </si>
  <si>
    <t>2025-09-01 00:00:00</t>
  </si>
  <si>
    <t>2025-10-01 00:00:00</t>
  </si>
  <si>
    <t>2025-09-01 10:01:05</t>
  </si>
  <si>
    <t>2025-09-02 15:40:25</t>
  </si>
  <si>
    <t>QU3014</t>
  </si>
  <si>
    <t>Kalahari Solar (Pty) Ltd</t>
  </si>
  <si>
    <t>CS10659</t>
  </si>
  <si>
    <t>10 Jakaranda Street</t>
  </si>
  <si>
    <t>Stock Sale - Electrical Meters</t>
  </si>
  <si>
    <t>2025-09-02 00:00:00</t>
  </si>
  <si>
    <t>2025-10-02 00:00:00</t>
  </si>
  <si>
    <t>2025-09-02 10:57:06</t>
  </si>
  <si>
    <t>2026-02-17 13:40:13</t>
  </si>
  <si>
    <t>QU3015</t>
  </si>
  <si>
    <t>PR210 Infotech</t>
  </si>
  <si>
    <t>Pretoria</t>
  </si>
  <si>
    <t>PR210 Infotech - Muni Check - Smart Electrical &amp; Water Metering</t>
  </si>
  <si>
    <t>2025-09-03 00:00:00</t>
  </si>
  <si>
    <t>2025-09-03 09:07:26</t>
  </si>
  <si>
    <t>2026-02-17 14:18:11</t>
  </si>
  <si>
    <t>QU3016</t>
  </si>
  <si>
    <t>Klarey Property Group 1 (Pty) Ltd</t>
  </si>
  <si>
    <t>CS10704</t>
  </si>
  <si>
    <t>CTC Legal Chambers</t>
  </si>
  <si>
    <t>CTC Legal Chambers - 8th Floor - Smart Electrical Metering</t>
  </si>
  <si>
    <t>2025-09-03 09:42:57</t>
  </si>
  <si>
    <t>2025-09-03 10:57:02</t>
  </si>
  <si>
    <t>QU3017</t>
  </si>
  <si>
    <t>Stock Sale - Metcom Meter</t>
  </si>
  <si>
    <t>2025-10-04 00:00:00</t>
  </si>
  <si>
    <t>2025-09-04 14:42:35</t>
  </si>
  <si>
    <t>2026-02-17 13:42:07</t>
  </si>
  <si>
    <t>QU3018</t>
  </si>
  <si>
    <t>Vestspruit Suites (Pty) Ltd</t>
  </si>
  <si>
    <t>CS10294</t>
  </si>
  <si>
    <t>Trueprop</t>
  </si>
  <si>
    <t>Cnr Walter Sisulu &amp; Kiewiet Rd</t>
  </si>
  <si>
    <t>PO 75401 Cnr Walter Sisulu &amp; Kiewiet Rd - Additional Electrical Meter</t>
  </si>
  <si>
    <t>2025-09-04 15:21:06</t>
  </si>
  <si>
    <t>2026-02-16 15:13:09</t>
  </si>
  <si>
    <t>QU3019</t>
  </si>
  <si>
    <t>PR069 Dorbyl Struandale (Isuzu)</t>
  </si>
  <si>
    <t>PR069 Dorbyl Isuzu Struandale - Smart Water Metering</t>
  </si>
  <si>
    <t>2025-09-08 00:00:00</t>
  </si>
  <si>
    <t>2025-10-08 00:00:00</t>
  </si>
  <si>
    <t>2025-09-05 08:46:42</t>
  </si>
  <si>
    <t>2026-02-17 14:11:57</t>
  </si>
  <si>
    <t>QU3020</t>
  </si>
  <si>
    <t>PR069 Dorbyl Struandale (Isuzu) - Water + Elec Comms</t>
  </si>
  <si>
    <t>2025-09-05 00:00:00</t>
  </si>
  <si>
    <t>2025-10-05 00:00:00</t>
  </si>
  <si>
    <t>2025-09-05 12:53:50</t>
  </si>
  <si>
    <t>2025-10-30 11:21:55</t>
  </si>
  <si>
    <t>QU3022</t>
  </si>
  <si>
    <t>Donvin Properties (Pty) Ltd</t>
  </si>
  <si>
    <t>CS10087</t>
  </si>
  <si>
    <t>Fish Hoek</t>
  </si>
  <si>
    <t>Fish Hoek - Water Meter Retrofit</t>
  </si>
  <si>
    <t>2025-09-05 14:19:24</t>
  </si>
  <si>
    <t>2025-09-09 15:23:23</t>
  </si>
  <si>
    <t>QU3025</t>
  </si>
  <si>
    <t>Cherrie Pink (Pty) Ltd</t>
  </si>
  <si>
    <t>CS10707</t>
  </si>
  <si>
    <t>Vulcania Industrial Park</t>
  </si>
  <si>
    <t>Site manager</t>
  </si>
  <si>
    <t>Vulcania Industrial Park - Smart Electrical Metering</t>
  </si>
  <si>
    <t>2025-09-09 00:00:00</t>
  </si>
  <si>
    <t>2025-09-08 09:40:22</t>
  </si>
  <si>
    <t>2026-02-17 13:45:49</t>
  </si>
  <si>
    <t>QU3028</t>
  </si>
  <si>
    <t>Portal Technology</t>
  </si>
  <si>
    <t>Stock Sale - Water Meters</t>
  </si>
  <si>
    <t>2025-10-09 00:00:00</t>
  </si>
  <si>
    <t>QRY10011</t>
  </si>
  <si>
    <t>2025-09-09 10:35:08</t>
  </si>
  <si>
    <t>2025-09-09 11:02:25</t>
  </si>
  <si>
    <t>QU3029</t>
  </si>
  <si>
    <t>Monthly Monitoring Fees</t>
  </si>
  <si>
    <t>2025-09-09 14:35:04</t>
  </si>
  <si>
    <t>2025-09-09 14:41:42</t>
  </si>
  <si>
    <t>QU3030</t>
  </si>
  <si>
    <t>The Diocesan School for Girls</t>
  </si>
  <si>
    <t>CS10268</t>
  </si>
  <si>
    <t>DSG</t>
  </si>
  <si>
    <t>QU3137 accepted in its place - 83771 Kiosk outside DSG Gym/Ballet Studio</t>
  </si>
  <si>
    <t>2025-09-10 00:00:00</t>
  </si>
  <si>
    <t>2025-10-10 00:00:00</t>
  </si>
  <si>
    <t>2025-09-10 09:16:17</t>
  </si>
  <si>
    <t>2026-02-17 14:12:47</t>
  </si>
  <si>
    <t>QU3031</t>
  </si>
  <si>
    <t>St Giles House (Pty) Ltd</t>
  </si>
  <si>
    <t>CS10247</t>
  </si>
  <si>
    <t>3 Factory Road</t>
  </si>
  <si>
    <t>3 Factory Rd</t>
  </si>
  <si>
    <t>PO 74951 - 3 Factory Road - Unit 08&amp;09&amp;10 - Coca Cola - Water Meter Replacement</t>
  </si>
  <si>
    <t>JC10240</t>
  </si>
  <si>
    <t>2025-09-10 09:25:55</t>
  </si>
  <si>
    <t>2026-02-16 14:52:23</t>
  </si>
  <si>
    <t>QU3034</t>
  </si>
  <si>
    <t>Donsure Properties (PTY) Ltd</t>
  </si>
  <si>
    <t>CS10086</t>
  </si>
  <si>
    <t>6 - 8 Donald Rd</t>
  </si>
  <si>
    <t>PO74780 6-8 Donald Street - Units 1F2, 1F3, IF6, 1F7 &amp; 2F2A - Water Meter Replacements</t>
  </si>
  <si>
    <t>JC10229</t>
  </si>
  <si>
    <t>2025-09-10 12:31:34</t>
  </si>
  <si>
    <t>2026-03-09 15:09:44</t>
  </si>
  <si>
    <t>QU3035</t>
  </si>
  <si>
    <t>PO74779 6-8 Donald Street - Unit 2F4 Electrical &amp; New space behind HDA Water</t>
  </si>
  <si>
    <t>JC10221</t>
  </si>
  <si>
    <t>2025-09-10 12:39:03</t>
  </si>
  <si>
    <t>2026-02-16 14:48:37</t>
  </si>
  <si>
    <t>QU3036</t>
  </si>
  <si>
    <t>Magic Builders Midrand - Stock Sale</t>
  </si>
  <si>
    <t>2025-09-12 00:00:00</t>
  </si>
  <si>
    <t>2025-10-12 00:00:00</t>
  </si>
  <si>
    <t>QRY10029</t>
  </si>
  <si>
    <t>2025-09-12 08:59:12</t>
  </si>
  <si>
    <t>2026-02-17 13:54:49</t>
  </si>
  <si>
    <t>Milprops 365 (Pty) Ltd</t>
  </si>
  <si>
    <t>CS10179</t>
  </si>
  <si>
    <t>Apex Park</t>
  </si>
  <si>
    <t>JC10849</t>
  </si>
  <si>
    <t>QU3038</t>
  </si>
  <si>
    <t>Moolman group</t>
  </si>
  <si>
    <t>Ground Floor, Baobab House, Eastwood Office Park,</t>
  </si>
  <si>
    <t>Middleburg Mall - Stock Sale - Water meter</t>
  </si>
  <si>
    <t>QRY10032</t>
  </si>
  <si>
    <t>2025-09-12 15:07:52</t>
  </si>
  <si>
    <t>2026-02-17 13:56:10</t>
  </si>
  <si>
    <t>QU3039</t>
  </si>
  <si>
    <t>BJ Electrical (Pty) Ltd</t>
  </si>
  <si>
    <t>Oak Road Business Park</t>
  </si>
  <si>
    <t>Oak Road Business Park - Smart Water and Electrical metering - Comms</t>
  </si>
  <si>
    <t>2025-09-15 00:00:00</t>
  </si>
  <si>
    <t>2025-10-15 00:00:00</t>
  </si>
  <si>
    <t>JC10314</t>
  </si>
  <si>
    <t>2025-09-15 09:10:22</t>
  </si>
  <si>
    <t>2026-02-16 14:41:00</t>
  </si>
  <si>
    <t>QU3040</t>
  </si>
  <si>
    <t>Stock Sale - Meter Tool Kit</t>
  </si>
  <si>
    <t>QRY10034</t>
  </si>
  <si>
    <t>2025-09-15 11:51:33</t>
  </si>
  <si>
    <t>2025-09-15 12:34:53</t>
  </si>
  <si>
    <t>QU3041</t>
  </si>
  <si>
    <t>Site Survey - Nelspruit City Centre</t>
  </si>
  <si>
    <t>2025-09-15 16:23:03</t>
  </si>
  <si>
    <t>2026-02-17 13:46:42</t>
  </si>
  <si>
    <t>QU3042</t>
  </si>
  <si>
    <t>Western Gruppe Residential (Pty) Ltd</t>
  </si>
  <si>
    <t>CS10299</t>
  </si>
  <si>
    <t>Matthew Villas</t>
  </si>
  <si>
    <t>Matthew Villas - Unit 1-5 - Water Meter Retrofit</t>
  </si>
  <si>
    <t>2025-09-16 00:00:00</t>
  </si>
  <si>
    <t>2025-10-16 00:00:00</t>
  </si>
  <si>
    <t>2025-09-16 08:50:32</t>
  </si>
  <si>
    <t>2026-02-17 13:47:37</t>
  </si>
  <si>
    <t>QU3043</t>
  </si>
  <si>
    <t>Komatipoort - Stock Sale - Water Meters</t>
  </si>
  <si>
    <t>QRY10036</t>
  </si>
  <si>
    <t>2025-09-16 08:57:39</t>
  </si>
  <si>
    <t>2025-09-16 09:05:49</t>
  </si>
  <si>
    <t>QU3044</t>
  </si>
  <si>
    <t>Option 1: Metcom - Smart Electrical Metering</t>
  </si>
  <si>
    <t>2025-09-16 15:56:59</t>
  </si>
  <si>
    <t>2025-10-28 14:39:19</t>
  </si>
  <si>
    <t>QU3045</t>
  </si>
  <si>
    <t>Option 2: Accuvim Meter - Smart Electrical Metering</t>
  </si>
  <si>
    <t>2025-09-16 16:10:36</t>
  </si>
  <si>
    <t>2025-10-28 14:39:33</t>
  </si>
  <si>
    <t>QU3046</t>
  </si>
  <si>
    <t>Bellingan Properties (Pty) Ltd</t>
  </si>
  <si>
    <t>CS10043</t>
  </si>
  <si>
    <t>274 Kaleidoscope (Vodacom Acres)</t>
  </si>
  <si>
    <t>Newton Park</t>
  </si>
  <si>
    <t>Vodacom Acres - Smart Electrical Metering</t>
  </si>
  <si>
    <t>2025-10-17 00:00:00</t>
  </si>
  <si>
    <t>2025-09-17 09:13:05</t>
  </si>
  <si>
    <t>2026-02-17 13:53:02</t>
  </si>
  <si>
    <t>Bonitas Office Park</t>
  </si>
  <si>
    <t>JC10850</t>
  </si>
  <si>
    <t>QU3048</t>
  </si>
  <si>
    <t>Bellingan Renewables (Pty) Ltd</t>
  </si>
  <si>
    <t>CS10044</t>
  </si>
  <si>
    <t>Greenbushes Industrial Park (Alpha Park)</t>
  </si>
  <si>
    <t>Greenbushes - Smart Electrical Metering</t>
  </si>
  <si>
    <t>2025-09-17 10:18:44</t>
  </si>
  <si>
    <t>2026-02-17 14:20:52</t>
  </si>
  <si>
    <t>QU3049</t>
  </si>
  <si>
    <t>Vodacom Acres - ABSA/New Section - Smart Water Metering</t>
  </si>
  <si>
    <t>2025-09-17 15:36:05</t>
  </si>
  <si>
    <t>2026-02-17 14:19:11</t>
  </si>
  <si>
    <t>QU3051</t>
  </si>
  <si>
    <t>InoFort Proprietary Limited [Wadeville Works]</t>
  </si>
  <si>
    <t>CS10140</t>
  </si>
  <si>
    <t>Wadeville Works</t>
  </si>
  <si>
    <t>Wadeville Works - Business Hub and Borehole Split - Electrical</t>
  </si>
  <si>
    <t>2025-10-18 00:00:00</t>
  </si>
  <si>
    <t>2025-09-18 09:29:05</t>
  </si>
  <si>
    <t>2025-09-18 09:30:04</t>
  </si>
  <si>
    <t>QU3052</t>
  </si>
  <si>
    <t>Gonubie Centre - Flat 5 &amp; 29 - Water Meter Replacements</t>
  </si>
  <si>
    <t>2025-10-19 00:00:00</t>
  </si>
  <si>
    <t>2025-09-19 09:01:27</t>
  </si>
  <si>
    <t>2026-02-17 13:48:23</t>
  </si>
  <si>
    <t>QU3053</t>
  </si>
  <si>
    <t>The Muir Foundation</t>
  </si>
  <si>
    <t>CS10270</t>
  </si>
  <si>
    <t>Muir College</t>
  </si>
  <si>
    <t>Muir College - Muni Check - Meter Replacement</t>
  </si>
  <si>
    <t>2025-09-23 00:00:00</t>
  </si>
  <si>
    <t>2025-10-23 00:00:00</t>
  </si>
  <si>
    <t>2025-09-19 11:30:27</t>
  </si>
  <si>
    <t>2026-02-17 13:55:55</t>
  </si>
  <si>
    <t>QU3054</t>
  </si>
  <si>
    <t>Luken Solar Powered Solutions</t>
  </si>
  <si>
    <t>76 Brighton Drive</t>
  </si>
  <si>
    <t>Stock Sale - CT Meter</t>
  </si>
  <si>
    <t>QRY10046</t>
  </si>
  <si>
    <t>2025-09-19 12:05:18</t>
  </si>
  <si>
    <t>2026-02-17 13:49:43</t>
  </si>
  <si>
    <t>QU3055</t>
  </si>
  <si>
    <t>Stock Sale - Direct Connect</t>
  </si>
  <si>
    <t>2025-09-22 00:00:00</t>
  </si>
  <si>
    <t>2025-10-22 00:00:00</t>
  </si>
  <si>
    <t>QRY10051</t>
  </si>
  <si>
    <t>2025-09-22 15:12:37</t>
  </si>
  <si>
    <t>2026-02-17 13:57:48</t>
  </si>
  <si>
    <t>QU3056</t>
  </si>
  <si>
    <t>Genergy The Alternative Energy Corporation (Pty) Ltd</t>
  </si>
  <si>
    <t>Spar</t>
  </si>
  <si>
    <t>PO-A0294 Stock Sale - CT Meter</t>
  </si>
  <si>
    <t>QRY10050</t>
  </si>
  <si>
    <t>2025-09-22 15:15:32</t>
  </si>
  <si>
    <t>2026-02-17 14:22:30</t>
  </si>
  <si>
    <t>QU3057</t>
  </si>
  <si>
    <t>Office 204</t>
  </si>
  <si>
    <t>Century City - Virgin Active - Smart Electrical Metering</t>
  </si>
  <si>
    <t>2025-09-23 11:44:57</t>
  </si>
  <si>
    <t>2025-11-19 15:13:00</t>
  </si>
  <si>
    <t>QU3058</t>
  </si>
  <si>
    <t>Forlee Holdings (Pty) Ltd</t>
  </si>
  <si>
    <t>CS10715</t>
  </si>
  <si>
    <t>SPAR Sherwood</t>
  </si>
  <si>
    <t>Spar Sherwood - Recommission PV Meter</t>
  </si>
  <si>
    <t>2025-09-23 14:39:03</t>
  </si>
  <si>
    <t>2025-09-23 15:09:50</t>
  </si>
  <si>
    <t>QU3059</t>
  </si>
  <si>
    <t>Fish Hoek - Shop 12 - Water Meter Replacement</t>
  </si>
  <si>
    <t>2025-09-23 14:48:51</t>
  </si>
  <si>
    <t>2025-09-23 15:07:14</t>
  </si>
  <si>
    <t>QU3060</t>
  </si>
  <si>
    <t>Dolphins leap - Shop 05 - Water Meter Replacement</t>
  </si>
  <si>
    <t>2025-09-23 14:53:52</t>
  </si>
  <si>
    <t>2026-02-17 13:55:27</t>
  </si>
  <si>
    <t>QU3061</t>
  </si>
  <si>
    <t>Nautica</t>
  </si>
  <si>
    <t>Nautica - Shops 8 + 17 - Water Meter Replacements</t>
  </si>
  <si>
    <t>2025-10-25 00:00:00</t>
  </si>
  <si>
    <t>2025-09-25 10:55:35</t>
  </si>
  <si>
    <t>2026-04-15 08:09:07</t>
  </si>
  <si>
    <t>QU3062</t>
  </si>
  <si>
    <t>Future Indefinite Investments 180 (Pty) Ltd</t>
  </si>
  <si>
    <t>CS10104</t>
  </si>
  <si>
    <t>JHB Aviation Park</t>
  </si>
  <si>
    <t>Aviation Park - Stock Sale - CT Meter</t>
  </si>
  <si>
    <t>QRY10053</t>
  </si>
  <si>
    <t>2025-09-25 15:25:58</t>
  </si>
  <si>
    <t>2026-02-17 13:58:54</t>
  </si>
  <si>
    <t>QU3063</t>
  </si>
  <si>
    <t>Inospace 3 Proprietary Limited [Eastleigh Exchange]</t>
  </si>
  <si>
    <t>CS10141</t>
  </si>
  <si>
    <t>Eastleigh Exchange</t>
  </si>
  <si>
    <t>Eastleigh Exchange - Unit 06B - Smart Electrical Metering</t>
  </si>
  <si>
    <t>2025-10-26 00:00:00</t>
  </si>
  <si>
    <t>2025-09-25 16:27:20</t>
  </si>
  <si>
    <t>2026-02-17 14:08:51</t>
  </si>
  <si>
    <t>QU3064</t>
  </si>
  <si>
    <t>Burnside View (Pty) Ltd</t>
  </si>
  <si>
    <t>CS10718</t>
  </si>
  <si>
    <t>84 Montebell Road</t>
  </si>
  <si>
    <t>Burnside View - Smart Electrical Metering - Municipal Check</t>
  </si>
  <si>
    <t>2025-10-29 00:00:00</t>
  </si>
  <si>
    <t>2025-09-29 08:41:16</t>
  </si>
  <si>
    <t>2025-10-01 10:17:48</t>
  </si>
  <si>
    <t>QU3065</t>
  </si>
  <si>
    <t>True Prop Investment Holdings (Pty) Ltd</t>
  </si>
  <si>
    <t>CS10700</t>
  </si>
  <si>
    <t>Unit 5 &amp; 6</t>
  </si>
  <si>
    <t>Nurture Mossel Bay - Smart Electrical and Water Metering - Municipal Checks</t>
  </si>
  <si>
    <t>2025-11-01 00:00:00</t>
  </si>
  <si>
    <t>2025-09-29 09:06:31</t>
  </si>
  <si>
    <t>2025-10-01 08:36:49</t>
  </si>
  <si>
    <t>QU3066</t>
  </si>
  <si>
    <t>Beer Properties (Pty) Ltd</t>
  </si>
  <si>
    <t>CS10042</t>
  </si>
  <si>
    <t>PEC Place</t>
  </si>
  <si>
    <t>PEC Place - Garden Line- Water Meter Replacement</t>
  </si>
  <si>
    <t>2025-09-29 15:31:42</t>
  </si>
  <si>
    <t>2025-09-29 15:32:01</t>
  </si>
  <si>
    <t>QU3067</t>
  </si>
  <si>
    <t>J Le Roux Livestock</t>
  </si>
  <si>
    <t>CS10719</t>
  </si>
  <si>
    <t>J Le Roux Livestock - Smart Electrical Metering - Municipal Check</t>
  </si>
  <si>
    <t>2025-09-30 10:17:12</t>
  </si>
  <si>
    <t>2025-10-01 08:25:01</t>
  </si>
  <si>
    <t>QU3068</t>
  </si>
  <si>
    <t>Dean Basson</t>
  </si>
  <si>
    <t>Stock Sale - Eelctrical meter</t>
  </si>
  <si>
    <t>2025-09-30 00:00:00</t>
  </si>
  <si>
    <t>2025-10-30 00:00:00</t>
  </si>
  <si>
    <t>QRY10055</t>
  </si>
  <si>
    <t>2025-09-30 10:41:05</t>
  </si>
  <si>
    <t>2025-11-10 12:07:09</t>
  </si>
  <si>
    <t>QU3069</t>
  </si>
  <si>
    <t>Callasage 15 (Pty) Ltd</t>
  </si>
  <si>
    <t>CS10706</t>
  </si>
  <si>
    <t>Spilo Business Park</t>
  </si>
  <si>
    <t>Spilo Business Park - Additional Meter + Modems</t>
  </si>
  <si>
    <t>2025-10-13 00:00:00</t>
  </si>
  <si>
    <t>2025-11-12 00:00:00</t>
  </si>
  <si>
    <t>2025-09-30 11:53:37</t>
  </si>
  <si>
    <t>2025-10-15 08:22:38</t>
  </si>
  <si>
    <t>QU3070</t>
  </si>
  <si>
    <t>Olive Hill Investments(PTY) - (Novate)</t>
  </si>
  <si>
    <t>CS10197</t>
  </si>
  <si>
    <t>10 Progress St (Erf 2619)_Olive Hill</t>
  </si>
  <si>
    <t>Faulty Water meter Replacements</t>
  </si>
  <si>
    <t>2025-09-30 14:12:20</t>
  </si>
  <si>
    <t>2025-10-01 11:34:43</t>
  </si>
  <si>
    <t>QU3071</t>
  </si>
  <si>
    <t>Ralex Group</t>
  </si>
  <si>
    <t>CS10722</t>
  </si>
  <si>
    <t>14 Cormorant St</t>
  </si>
  <si>
    <t>2025-09-30 14:18:49</t>
  </si>
  <si>
    <t>2025-10-01 08:19:08</t>
  </si>
  <si>
    <t>QU3072</t>
  </si>
  <si>
    <t>Vulcania Industrial Park - Additional Stock Needed</t>
  </si>
  <si>
    <t>2025-10-31 00:00:00</t>
  </si>
  <si>
    <t>2025-10-01 15:37:18</t>
  </si>
  <si>
    <t>2026-02-17 13:59:08</t>
  </si>
  <si>
    <t>QU3073</t>
  </si>
  <si>
    <t>10 Top Rd</t>
  </si>
  <si>
    <t>10 Top Road - Water Meter Retrofit</t>
  </si>
  <si>
    <t>2025-10-01 16:03:25</t>
  </si>
  <si>
    <t>2025-10-02 12:09:04</t>
  </si>
  <si>
    <t>QU3074</t>
  </si>
  <si>
    <t>12 Middle Rd</t>
  </si>
  <si>
    <t>12 Middle Rd, Anderbolt, Boksburg, 1459</t>
  </si>
  <si>
    <t>12 Middle Road - Water Meter Retrofit</t>
  </si>
  <si>
    <t>2025-10-02 10:15:17</t>
  </si>
  <si>
    <t>2025-10-03 12:52:40</t>
  </si>
  <si>
    <t>QU3075</t>
  </si>
  <si>
    <t>Unit G5 &amp; G6</t>
  </si>
  <si>
    <t>13 Top Rd - Water Meter Retrofit</t>
  </si>
  <si>
    <t>2025-10-02 10:51:30</t>
  </si>
  <si>
    <t>2025-10-02 12:08:50</t>
  </si>
  <si>
    <t>QU3076</t>
  </si>
  <si>
    <t>Wonderland Property Group</t>
  </si>
  <si>
    <t>CS10495</t>
  </si>
  <si>
    <t>Melrose 1 &amp; 3</t>
  </si>
  <si>
    <t>Melrose 1 &amp; 3 - Meter Data Download</t>
  </si>
  <si>
    <t>2025-10-02 11:47:32</t>
  </si>
  <si>
    <t>2026-02-17 14:08:00</t>
  </si>
  <si>
    <t>QU3077</t>
  </si>
  <si>
    <t>Spilo - Site Inspection (Electrical) - Energy Africa and Unit 3</t>
  </si>
  <si>
    <t>2025-10-02 11:53:33</t>
  </si>
  <si>
    <t>2026-02-17 13:59:55</t>
  </si>
  <si>
    <t>QU3078</t>
  </si>
  <si>
    <t>PR176 Cut Rag Building (Wilsonia)</t>
  </si>
  <si>
    <t>PR176 Cut Rag Building Wilsonia - Repeater</t>
  </si>
  <si>
    <t>2025-10-02 14:46:09</t>
  </si>
  <si>
    <t>2025-10-02 15:19:21</t>
  </si>
  <si>
    <t>QU3079</t>
  </si>
  <si>
    <t>Lumibiz (PTY) Ltd</t>
  </si>
  <si>
    <t>CS10169</t>
  </si>
  <si>
    <t>Abraham Marais</t>
  </si>
  <si>
    <t>Food Lovers Montana</t>
  </si>
  <si>
    <t>Food Lovers Montana - Meter 2 - Water Meter Replacement</t>
  </si>
  <si>
    <t>2025-10-02 15:50:19</t>
  </si>
  <si>
    <t>2025-10-20 12:45:00</t>
  </si>
  <si>
    <t>QU3080</t>
  </si>
  <si>
    <t>IX Engineers</t>
  </si>
  <si>
    <t>CS10724</t>
  </si>
  <si>
    <t>Samcay Gumdale Youth Campsite</t>
  </si>
  <si>
    <t>Samcay Gumdale Youth Campsite - Smart Electrical Metering</t>
  </si>
  <si>
    <t>2025-11-02 00:00:00</t>
  </si>
  <si>
    <t>2025-10-03 11:15:22</t>
  </si>
  <si>
    <t>2025-10-03 14:34:17</t>
  </si>
  <si>
    <t>QU3081</t>
  </si>
  <si>
    <t>2025-10-03 12:43:25</t>
  </si>
  <si>
    <t>2026-01-07 10:00:33</t>
  </si>
  <si>
    <t>QU3082</t>
  </si>
  <si>
    <t>RP Views (Pty) Ltd</t>
  </si>
  <si>
    <t>CS10227</t>
  </si>
  <si>
    <t>12 Esplanade</t>
  </si>
  <si>
    <t>12 Esplanade St</t>
  </si>
  <si>
    <t>12 Esplanade Unit 2F + GF1 - Water Meter Replacements</t>
  </si>
  <si>
    <t>2025-10-07 00:00:00</t>
  </si>
  <si>
    <t>2025-11-06 00:00:00</t>
  </si>
  <si>
    <t>2025-10-07 08:44:17</t>
  </si>
  <si>
    <t>2025-12-03 12:59:14</t>
  </si>
  <si>
    <t>QU3083</t>
  </si>
  <si>
    <t>Inrabiz Proprietary Limited [Sebenza Works]</t>
  </si>
  <si>
    <t>CS10146</t>
  </si>
  <si>
    <t>Sebenza - Smart Electrical Metering - Remaining Meters</t>
  </si>
  <si>
    <t>2025-10-07 09:11:46</t>
  </si>
  <si>
    <t>2025-10-07 09:17:55</t>
  </si>
  <si>
    <t>QU3085</t>
  </si>
  <si>
    <t>Bel-Essex Property Investment ( PTY ) Ltd</t>
  </si>
  <si>
    <t>CS10705</t>
  </si>
  <si>
    <t>Divan Bakkes</t>
  </si>
  <si>
    <t>130 Paterson Rd</t>
  </si>
  <si>
    <t>130 Paterson - Electrical Municipal Check</t>
  </si>
  <si>
    <t>2025-11-07 00:00:00</t>
  </si>
  <si>
    <t>2025-10-07 10:24:54</t>
  </si>
  <si>
    <t>2025-10-27 10:15:00</t>
  </si>
  <si>
    <t>QU3086</t>
  </si>
  <si>
    <t>PE Fishing Enterprises (Pty) Ltd</t>
  </si>
  <si>
    <t>Cornerstone</t>
  </si>
  <si>
    <t>Cornerstone - Smart Water Metering - Municipal Check</t>
  </si>
  <si>
    <t>2025-11-09 00:00:00</t>
  </si>
  <si>
    <t>JC10199</t>
  </si>
  <si>
    <t>2025-10-07 10:40:57</t>
  </si>
  <si>
    <t>2026-05-06 10:50:01</t>
  </si>
  <si>
    <t>QU3087</t>
  </si>
  <si>
    <t>Nelspruit City Centre - Smart Water Metering</t>
  </si>
  <si>
    <t>2025-10-07 10:58:31</t>
  </si>
  <si>
    <t>2025-11-05 09:24:14</t>
  </si>
  <si>
    <t>QU3088</t>
  </si>
  <si>
    <t>Inospace 5 (Pty) Ltd [The Exchange]</t>
  </si>
  <si>
    <t>CS10726</t>
  </si>
  <si>
    <t>The Exchange</t>
  </si>
  <si>
    <t>The Exchange - Smart Electrical and Water Metering (Alternative Water Option)</t>
  </si>
  <si>
    <t>2025-10-08 10:09:10</t>
  </si>
  <si>
    <t>2026-02-06 10:56:15</t>
  </si>
  <si>
    <t>QU3091</t>
  </si>
  <si>
    <t>Cygnirox (Pty) Ltd</t>
  </si>
  <si>
    <t>CS10727</t>
  </si>
  <si>
    <t>Novel Building Atlantis Industrial</t>
  </si>
  <si>
    <t>Novel Building Atlantis Industrial - Smart Electrical Metering (Monthly Rate Amended0</t>
  </si>
  <si>
    <t>2025-11-08 00:00:00</t>
  </si>
  <si>
    <t>2025-10-08 14:18:20</t>
  </si>
  <si>
    <t>2025-11-03 11:33:37</t>
  </si>
  <si>
    <t>QU3092</t>
  </si>
  <si>
    <t>Shane Robinson - Cost Estimates - Budget Purposes</t>
  </si>
  <si>
    <t>2025-10-10 10:20:22</t>
  </si>
  <si>
    <t>2025-10-10 10:20:34</t>
  </si>
  <si>
    <t>QU3093</t>
  </si>
  <si>
    <t>Spilo Business Park - Energy Africa - Smart Electrical Metering</t>
  </si>
  <si>
    <t>2025-10-10 14:46:35</t>
  </si>
  <si>
    <t>2026-02-17 14:15:19</t>
  </si>
  <si>
    <t>QU3094</t>
  </si>
  <si>
    <t>Nautica - Shop 06, 10 &amp; 22 - Water Meter Replacements</t>
  </si>
  <si>
    <t>2025-10-20 00:00:00</t>
  </si>
  <si>
    <t>2025-11-19 00:00:00</t>
  </si>
  <si>
    <t>2025-10-13 08:33:46</t>
  </si>
  <si>
    <t>2026-04-15 08:06:18</t>
  </si>
  <si>
    <t>QU3095</t>
  </si>
  <si>
    <t>The Exchange - Smart Electrical and Water Metering</t>
  </si>
  <si>
    <t>2025-10-13 09:31:35</t>
  </si>
  <si>
    <t>2026-02-18 15:16:41</t>
  </si>
  <si>
    <t>QU3096</t>
  </si>
  <si>
    <t>Gotzedel Properties Pty Ltd</t>
  </si>
  <si>
    <t>CS10111</t>
  </si>
  <si>
    <t>Corner Square</t>
  </si>
  <si>
    <t>Corner Square - Unit 07B - Smart Water Metering</t>
  </si>
  <si>
    <t>2025-10-13 11:36:11</t>
  </si>
  <si>
    <t>2025-11-18 11:18:53</t>
  </si>
  <si>
    <t>QU3098</t>
  </si>
  <si>
    <t>Cookhouse Creamery (PTY) Ltd</t>
  </si>
  <si>
    <t>CS10071</t>
  </si>
  <si>
    <t>Cookhouse Creamery</t>
  </si>
  <si>
    <t>Cookhouse Creamery - Water Meter retrofit</t>
  </si>
  <si>
    <t>2025-10-14 00:00:00</t>
  </si>
  <si>
    <t>2025-11-13 00:00:00</t>
  </si>
  <si>
    <t>2025-10-14 14:38:54</t>
  </si>
  <si>
    <t>2025-10-15 11:55:04</t>
  </si>
  <si>
    <t>QU3099</t>
  </si>
  <si>
    <t>Insight Property Investment Fund (Pty)Ltd</t>
  </si>
  <si>
    <t>CS10147</t>
  </si>
  <si>
    <t>Bungalow Mall</t>
  </si>
  <si>
    <t>Bungalow Mall - Move Elec Meter from Shop 11A to 13</t>
  </si>
  <si>
    <t>2025-10-14 15:46:06</t>
  </si>
  <si>
    <t>2026-02-17 14:16:25</t>
  </si>
  <si>
    <t>QU3100</t>
  </si>
  <si>
    <t>Spilo Business Park - Smart Electrical Metering - Option 1 (Comms modules + Gateways)</t>
  </si>
  <si>
    <t>2025-11-14 00:00:00</t>
  </si>
  <si>
    <t>2025-10-15 09:40:03</t>
  </si>
  <si>
    <t>2025-10-16 10:05:46</t>
  </si>
  <si>
    <t>QU3101</t>
  </si>
  <si>
    <t>Eildon Farm</t>
  </si>
  <si>
    <t>David Pringle</t>
  </si>
  <si>
    <t>Eildon Farm - CTs - Solids</t>
  </si>
  <si>
    <t>QRY10056</t>
  </si>
  <si>
    <t>2025-10-15 10:16:27</t>
  </si>
  <si>
    <t>2026-02-17 14:09:06</t>
  </si>
  <si>
    <t>QU3102</t>
  </si>
  <si>
    <t>Eildon Farm - CTs - Split</t>
  </si>
  <si>
    <t>2025-10-15 10:18:42</t>
  </si>
  <si>
    <t>2025-10-24 09:03:09</t>
  </si>
  <si>
    <t>QU3103</t>
  </si>
  <si>
    <t>Tracey-Lee Endley</t>
  </si>
  <si>
    <t>Spilo Business Park - Smart Electrical Metering - Option 2 (DC)</t>
  </si>
  <si>
    <t>2025-10-15 10:55:54</t>
  </si>
  <si>
    <t>2025-10-16 09:37:09</t>
  </si>
  <si>
    <t>QU3104</t>
  </si>
  <si>
    <t>Newton Park Super Spar</t>
  </si>
  <si>
    <t>CS10191</t>
  </si>
  <si>
    <t>3rd Ave</t>
  </si>
  <si>
    <t>Deli/Take-Away - Smart Water Meteriing</t>
  </si>
  <si>
    <t>2025-10-15 11:51:51</t>
  </si>
  <si>
    <t>2025-10-15 12:29:47</t>
  </si>
  <si>
    <t>QU3105</t>
  </si>
  <si>
    <t>Wynberg Works</t>
  </si>
  <si>
    <t>CS10730</t>
  </si>
  <si>
    <t>Wynberg Workshops</t>
  </si>
  <si>
    <t>Wynberg Works - Unit 49 - Prepaid Electricity Meter</t>
  </si>
  <si>
    <t>2025-10-15 12:15:43</t>
  </si>
  <si>
    <t>2025-10-15 12:17:04</t>
  </si>
  <si>
    <t>QU3106</t>
  </si>
  <si>
    <t>Spilo Business Park - Smart Water Metering</t>
  </si>
  <si>
    <t>2025-11-15 00:00:00</t>
  </si>
  <si>
    <t>2025-10-16 09:57:44</t>
  </si>
  <si>
    <t>2025-10-16 10:45:39</t>
  </si>
  <si>
    <t>QU3107</t>
  </si>
  <si>
    <t>African Investment Connections (Pty) Ltd</t>
  </si>
  <si>
    <t>CS10024</t>
  </si>
  <si>
    <t>Elliot Shopping Centre</t>
  </si>
  <si>
    <t>Elliot Shopping Centre - Re-commission Modems/Replace Sim Cards</t>
  </si>
  <si>
    <t>2025-10-16 10:27:45</t>
  </si>
  <si>
    <t>2026-02-17 14:09:42</t>
  </si>
  <si>
    <t>QU3108</t>
  </si>
  <si>
    <t>Spilo Business Park - Smart Electrical Metering - Phase 1</t>
  </si>
  <si>
    <t>2025-10-16 15:53:02</t>
  </si>
  <si>
    <t>2026-02-17 14:26:49</t>
  </si>
  <si>
    <t>QU3109</t>
  </si>
  <si>
    <t>Spilo Business Park - Smart Electrical Metering - Phase 2</t>
  </si>
  <si>
    <t>2025-10-16 15:55:43</t>
  </si>
  <si>
    <t>2025-11-24 10:29:36</t>
  </si>
  <si>
    <t>QU3110</t>
  </si>
  <si>
    <t>CookHouse</t>
  </si>
  <si>
    <t>Cookhouse Creamery - Water Meter retrofit - DN80 + DN100 added</t>
  </si>
  <si>
    <t>2025-11-16 00:00:00</t>
  </si>
  <si>
    <t>2025-10-17 14:14:50</t>
  </si>
  <si>
    <t>2025-10-17 14:18:18</t>
  </si>
  <si>
    <t>QU3111</t>
  </si>
  <si>
    <t>Industro Plumbers (Pty) Ltd</t>
  </si>
  <si>
    <t>Main Office</t>
  </si>
  <si>
    <t>105 Main Road</t>
  </si>
  <si>
    <t>Stock Sale - Pulse Adaptor</t>
  </si>
  <si>
    <t>QRY10058</t>
  </si>
  <si>
    <t>2025-10-17 14:44:39</t>
  </si>
  <si>
    <t>2026-02-17 14:10:05</t>
  </si>
  <si>
    <t>QU3112</t>
  </si>
  <si>
    <t>Switchboard Group (Pty) Ltd Kwazulu Natal</t>
  </si>
  <si>
    <t>Office</t>
  </si>
  <si>
    <t>59 Aberdare Drive</t>
  </si>
  <si>
    <t>FLM Ottery - Stock Sale - CT Meters</t>
  </si>
  <si>
    <t>QRY10059</t>
  </si>
  <si>
    <t>2025-10-17 14:47:33</t>
  </si>
  <si>
    <t>info@republicmetering.co.za</t>
  </si>
  <si>
    <t>2025-12-11 10:55:33</t>
  </si>
  <si>
    <t>QU3113</t>
  </si>
  <si>
    <t>Merino Mall - Stock Sale - Water Meter</t>
  </si>
  <si>
    <t>QRY10060</t>
  </si>
  <si>
    <t>2025-10-17 14:49:52</t>
  </si>
  <si>
    <t>2025-10-17 15:00:42</t>
  </si>
  <si>
    <t>QU3114</t>
  </si>
  <si>
    <t>InoFort Proprietary Limited [Tambo Exchange]</t>
  </si>
  <si>
    <t>CS10139</t>
  </si>
  <si>
    <t>Tambo Exchange</t>
  </si>
  <si>
    <t>Tambo Exchange - Unit 30 Split - Smart Electrical Metering</t>
  </si>
  <si>
    <t>2025-10-20 09:30:58</t>
  </si>
  <si>
    <t>2026-02-17 14:33:14</t>
  </si>
  <si>
    <t>QU3115</t>
  </si>
  <si>
    <t>THE MALL OF MIDDELBURG CONSORTIUM C/O Moolman Group Property Management (Pty) Ltd</t>
  </si>
  <si>
    <t>Middleburg Mall</t>
  </si>
  <si>
    <t>Eastwood Office Park, Boabab House</t>
  </si>
  <si>
    <t>Middleburg Mall - Stock Sale - Water Meters</t>
  </si>
  <si>
    <t>QRY10061</t>
  </si>
  <si>
    <t>2025-10-20 09:49:05</t>
  </si>
  <si>
    <t>2025-11-18 11:26:47</t>
  </si>
  <si>
    <t>QU3116</t>
  </si>
  <si>
    <t>10 Progress St - Water Meter Replacement</t>
  </si>
  <si>
    <t>2025-10-21 00:00:00</t>
  </si>
  <si>
    <t>2025-11-20 00:00:00</t>
  </si>
  <si>
    <t>2025-10-20 11:22:37</t>
  </si>
  <si>
    <t>2025-10-22 09:02:35</t>
  </si>
  <si>
    <t>QU3117</t>
  </si>
  <si>
    <t>Sebenza Works</t>
  </si>
  <si>
    <t>Sebenza Works - Smart Electrical Metering</t>
  </si>
  <si>
    <t>2025-10-20 12:29:04</t>
  </si>
  <si>
    <t>2025-10-20 14:33:14</t>
  </si>
  <si>
    <t>QU3118</t>
  </si>
  <si>
    <t>Alfred Charles Motors CC</t>
  </si>
  <si>
    <t>CS10028</t>
  </si>
  <si>
    <t>Alfred Charles Motors</t>
  </si>
  <si>
    <t>Unit 6 Yellow Dot Office - Electrical Meter Replacement</t>
  </si>
  <si>
    <t>2025-10-20 14:50:18</t>
  </si>
  <si>
    <t>2025-10-21 09:29:38</t>
  </si>
  <si>
    <t>QU3119</t>
  </si>
  <si>
    <t>Autobahn Properties (Pty) Ltd</t>
  </si>
  <si>
    <t>CS10040</t>
  </si>
  <si>
    <t>Neave 4</t>
  </si>
  <si>
    <t>Neave Industrial - Units 1 &amp; 2 - Smart Electrical Metering</t>
  </si>
  <si>
    <t>2025-11-21 00:00:00</t>
  </si>
  <si>
    <t>2025-10-20 14:56:38</t>
  </si>
  <si>
    <t>2026-02-17 14:13:55</t>
  </si>
  <si>
    <t>QU3120</t>
  </si>
  <si>
    <t>Tec Partners Business Trust</t>
  </si>
  <si>
    <t>CS10652</t>
  </si>
  <si>
    <t>67 General Dan Pienaar Dr</t>
  </si>
  <si>
    <t>Stock Sale - Smart Water Meters</t>
  </si>
  <si>
    <t>QRY10065</t>
  </si>
  <si>
    <t>2025-10-21 08:43:22</t>
  </si>
  <si>
    <t>2026-02-17 14:12:07</t>
  </si>
  <si>
    <t>QU3121</t>
  </si>
  <si>
    <t>KFC Properties (Pty) Ltd</t>
  </si>
  <si>
    <t>CS10557</t>
  </si>
  <si>
    <t>85 Cape Road</t>
  </si>
  <si>
    <t>GM Section 5 Office Blook 4th Floor - Additional Electrical Meter</t>
  </si>
  <si>
    <t>2025-10-21 09:08:14</t>
  </si>
  <si>
    <t>2026-02-17 14:13:22</t>
  </si>
  <si>
    <t>QU3122</t>
  </si>
  <si>
    <t>Kerlibix (Pty) Ltd</t>
  </si>
  <si>
    <t>CS10154</t>
  </si>
  <si>
    <t>Greenfields Village</t>
  </si>
  <si>
    <t>Greenfields Village - MUC Module</t>
  </si>
  <si>
    <t>2025-10-21 14:26:52</t>
  </si>
  <si>
    <t>2025-10-21 14:27:09</t>
  </si>
  <si>
    <t>QU3123</t>
  </si>
  <si>
    <t>JDG Properties</t>
  </si>
  <si>
    <t>CS10149</t>
  </si>
  <si>
    <t>Erf 645 Markman Township KFC/Engen</t>
  </si>
  <si>
    <t>Erf 645 Markman Township - Pit Antenna</t>
  </si>
  <si>
    <t>2025-10-21 15:27:06</t>
  </si>
  <si>
    <t>2025-10-22 08:31:13</t>
  </si>
  <si>
    <t>QU3124</t>
  </si>
  <si>
    <t>The Circle (Pty) Ltd</t>
  </si>
  <si>
    <t>Kings Mall</t>
  </si>
  <si>
    <t>Kings Mall, Main Road, East London, 5201, (Lize Price - 0609611007)</t>
  </si>
  <si>
    <t>Kings Mall Unit 46 - Water meter Replacement</t>
  </si>
  <si>
    <t>2026-05-25 00:00:00</t>
  </si>
  <si>
    <t>2026-06-24 00:00:00</t>
  </si>
  <si>
    <t>JC10844</t>
  </si>
  <si>
    <t>2025-10-22 09:17:14</t>
  </si>
  <si>
    <t>2026-05-25 16:02:20</t>
  </si>
  <si>
    <t>QU3125</t>
  </si>
  <si>
    <t>St Andrew's College</t>
  </si>
  <si>
    <t>CS10324</t>
  </si>
  <si>
    <t>SAP</t>
  </si>
  <si>
    <t>Fairlawn - Main &amp; Clubhouse - Correct CTs</t>
  </si>
  <si>
    <t>2025-11-25 00:00:00</t>
  </si>
  <si>
    <t>2025-12-25 00:00:00</t>
  </si>
  <si>
    <t>2025-10-22 09:29:18</t>
  </si>
  <si>
    <t>2025-11-25 09:36:49</t>
  </si>
  <si>
    <t>QU3126</t>
  </si>
  <si>
    <t>Arctilogix (Pty) Ltd</t>
  </si>
  <si>
    <t>CS10036</t>
  </si>
  <si>
    <t>Willowvale</t>
  </si>
  <si>
    <t>Willowvale Shopping Centre</t>
  </si>
  <si>
    <t>Willowvale - Caltex Garage - Water Meter replacement</t>
  </si>
  <si>
    <t>2025-10-22 11:43:14</t>
  </si>
  <si>
    <t>2025-10-22 16:08:58</t>
  </si>
  <si>
    <t>QU3127</t>
  </si>
  <si>
    <t>Willowvale - Water Metering - Site Retrofit</t>
  </si>
  <si>
    <t>2025-10-22 11:55:19</t>
  </si>
  <si>
    <t>2025-10-22 16:09:00</t>
  </si>
  <si>
    <t>QU3128</t>
  </si>
  <si>
    <t>Fire Workx</t>
  </si>
  <si>
    <t>QRY10069</t>
  </si>
  <si>
    <t>2025-10-22 15:10:04</t>
  </si>
  <si>
    <t>2025-10-29 08:59:02</t>
  </si>
  <si>
    <t>QU3129</t>
  </si>
  <si>
    <t>PR176 Cut Rag Building Wilsonia - Repeater + Pit Antenna</t>
  </si>
  <si>
    <t>2025-10-22 15:22:51</t>
  </si>
  <si>
    <t>2025-10-22 15:44:37</t>
  </si>
  <si>
    <t>QU3130</t>
  </si>
  <si>
    <t>PR176 Cut Rag Building Wilsonia - CT Replacements</t>
  </si>
  <si>
    <t>2025-10-22 15:23:48</t>
  </si>
  <si>
    <t>2025-10-22 15:45:50</t>
  </si>
  <si>
    <t>QU3131</t>
  </si>
  <si>
    <t>Electrofix Electrical</t>
  </si>
  <si>
    <t>Electrofix Electrical - Smart Electrical Metering</t>
  </si>
  <si>
    <t>QRY10071</t>
  </si>
  <si>
    <t>2025-10-22 16:27:46</t>
  </si>
  <si>
    <t>2025-10-22 16:32:58</t>
  </si>
  <si>
    <t>2025-11-22 00:00:00</t>
  </si>
  <si>
    <t>QU3133</t>
  </si>
  <si>
    <t>Nurture Mossel Bay - Smart Electrical Metering - Municipal Check</t>
  </si>
  <si>
    <t>2025-10-23 10:10:43</t>
  </si>
  <si>
    <t>2025-10-23 10:13:50</t>
  </si>
  <si>
    <t>QU3134</t>
  </si>
  <si>
    <t>SKG Power - Stock Sale - Meter Tool Kit</t>
  </si>
  <si>
    <t>QRY10072</t>
  </si>
  <si>
    <t>2025-10-23 10:47:08</t>
  </si>
  <si>
    <t>2025-11-17 08:29:54</t>
  </si>
  <si>
    <t>QU3136</t>
  </si>
  <si>
    <t>Musina - Stock Sale - Water meters</t>
  </si>
  <si>
    <t>2025-10-24 00:00:00</t>
  </si>
  <si>
    <t>2025-11-23 00:00:00</t>
  </si>
  <si>
    <t>QRY10073</t>
  </si>
  <si>
    <t>2025-10-24 08:58:14</t>
  </si>
  <si>
    <t>2025-10-24 09:32:07</t>
  </si>
  <si>
    <t>QU3137</t>
  </si>
  <si>
    <t>PO83771 Kiosk outside DSG Gym/Ballet Studio</t>
  </si>
  <si>
    <t>2025-10-24 09:17:46</t>
  </si>
  <si>
    <t>2025-11-10 14:48:16</t>
  </si>
  <si>
    <t>QU3138</t>
  </si>
  <si>
    <t>Eldo Energy</t>
  </si>
  <si>
    <t>Stock Sale - DN20 Water Meter</t>
  </si>
  <si>
    <t>QRY10077</t>
  </si>
  <si>
    <t>2025-10-24 15:38:06</t>
  </si>
  <si>
    <t>2025-11-10 14:48:36</t>
  </si>
  <si>
    <t>QU3139</t>
  </si>
  <si>
    <t>PO 74518 Spilo Business Park - Smart Electrical Metering - Phase 2</t>
  </si>
  <si>
    <t>2025-10-27 00:00:00</t>
  </si>
  <si>
    <t>2025-11-26 00:00:00</t>
  </si>
  <si>
    <t>2025-10-27 09:21:52</t>
  </si>
  <si>
    <t>2026-02-17 14:26:38</t>
  </si>
  <si>
    <t>QU3140</t>
  </si>
  <si>
    <t>Spilo Business Park - Smart Electrical Metering - Stock Only for Manual Reading - Option 1</t>
  </si>
  <si>
    <t>2025-10-27 09:24:37</t>
  </si>
  <si>
    <t>2025-10-27 12:01:15</t>
  </si>
  <si>
    <t>QU3141</t>
  </si>
  <si>
    <t>130 Paterson - Electrical Municipal Check + PV</t>
  </si>
  <si>
    <t>2025-10-27 10:13:39</t>
  </si>
  <si>
    <t>2026-03-23 08:57:27</t>
  </si>
  <si>
    <t>QU3142</t>
  </si>
  <si>
    <t>Spilo Business Park - Smart Electrical Metering - Stock Only for Manual Reading - Option 2</t>
  </si>
  <si>
    <t>2025-10-27 10:24:19</t>
  </si>
  <si>
    <t>2025-10-27 12:01:07</t>
  </si>
  <si>
    <t>QU3143</t>
  </si>
  <si>
    <t>Stock sale - Single Phase Meters</t>
  </si>
  <si>
    <t>QRY10075</t>
  </si>
  <si>
    <t>2025-10-27 12:10:45</t>
  </si>
  <si>
    <t>2025-10-27 12:39:11</t>
  </si>
  <si>
    <t>QU3144</t>
  </si>
  <si>
    <t>Bel-Essex - Meter Commissioning (Electrical) - Updated to include additional meter</t>
  </si>
  <si>
    <t>2025-11-24 00:00:00</t>
  </si>
  <si>
    <t>2025-12-24 00:00:00</t>
  </si>
  <si>
    <t>2025-10-27 12:46:25</t>
  </si>
  <si>
    <t>2026-03-23 08:57:05</t>
  </si>
  <si>
    <t>QU3145</t>
  </si>
  <si>
    <t>PR176 Cut Rag Building Wilsonia - Repeater + Pit Antenna + CT Replacements</t>
  </si>
  <si>
    <t>2025-10-27 15:08:23</t>
  </si>
  <si>
    <t>2026-02-17 14:18:46</t>
  </si>
  <si>
    <t>QU3146</t>
  </si>
  <si>
    <t>Spilo Business Park - Installation of Manual Meters</t>
  </si>
  <si>
    <t>2025-10-28 00:00:00</t>
  </si>
  <si>
    <t>2025-11-27 00:00:00</t>
  </si>
  <si>
    <t>2025-10-28 10:55:10</t>
  </si>
  <si>
    <t>2025-10-28 10:59:45</t>
  </si>
  <si>
    <t>QU3147</t>
  </si>
  <si>
    <t>3 Factory Road - Communications - Gateways</t>
  </si>
  <si>
    <t>2025-10-28 11:07:40</t>
  </si>
  <si>
    <t>2025-10-28 11:18:57</t>
  </si>
  <si>
    <t>QU3148</t>
  </si>
  <si>
    <t>Caperfield Investments (Pty) Ltd</t>
  </si>
  <si>
    <t>CS10059</t>
  </si>
  <si>
    <t>Maitland Industrial Park</t>
  </si>
  <si>
    <t>Maitland Industrial Park - Water Meter Replacements</t>
  </si>
  <si>
    <t>2025-10-28 11:25:56</t>
  </si>
  <si>
    <t>QU3149</t>
  </si>
  <si>
    <t>Lords View Industrial Park</t>
  </si>
  <si>
    <t>Lords View</t>
  </si>
  <si>
    <t>Lords View - Process Plant - Water Meter Replacement</t>
  </si>
  <si>
    <t>2025-10-28 13:01:55</t>
  </si>
  <si>
    <t>2026-02-17 14:39:45</t>
  </si>
  <si>
    <t>QU3150</t>
  </si>
  <si>
    <t>Pedfin Properties Trust c/o Swindon Property</t>
  </si>
  <si>
    <t>33 Industria Ring Rd</t>
  </si>
  <si>
    <t>33 Industria Ring Road - Coca Cola Unit - Smart Electrical metering</t>
  </si>
  <si>
    <t>2025-11-29 00:00:00</t>
  </si>
  <si>
    <t>QRY10079</t>
  </si>
  <si>
    <t>2025-10-28 15:02:45</t>
  </si>
  <si>
    <t>2025-11-17 08:25:27</t>
  </si>
  <si>
    <t>QU3151</t>
  </si>
  <si>
    <t>Stock Sale - Data Concentrator (for use at Summerpride)</t>
  </si>
  <si>
    <t>QRY10080</t>
  </si>
  <si>
    <t>2025-10-28 16:19:52</t>
  </si>
  <si>
    <t>2025-11-10 14:53:07</t>
  </si>
  <si>
    <t>QU3152</t>
  </si>
  <si>
    <t>2025-11-28 00:00:00</t>
  </si>
  <si>
    <t>2025-10-29 08:59:57</t>
  </si>
  <si>
    <t>2026-02-17 14:14:09</t>
  </si>
  <si>
    <t>QU3153</t>
  </si>
  <si>
    <t>CTC Legal Chambers - Smart Electrical Metering (4th &amp; 7th Floors - Church)</t>
  </si>
  <si>
    <t>2025-10-29 09:55:02</t>
  </si>
  <si>
    <t>2025-10-29 15:37:35</t>
  </si>
  <si>
    <t>QU3156</t>
  </si>
  <si>
    <t>Klarey Property Group 2 (Pty) Ltd</t>
  </si>
  <si>
    <t>CS10741</t>
  </si>
  <si>
    <t>CTC Legal Chambers - Smart Electrical Metering (9th Floor - Wale, 1st &amp; 2nd Floors - Church)</t>
  </si>
  <si>
    <t>2025-10-29 10:29:18</t>
  </si>
  <si>
    <t>2025-10-29 15:36:52</t>
  </si>
  <si>
    <t>QU3157</t>
  </si>
  <si>
    <t>Klarey Property Group 3 (Pty) Ltd</t>
  </si>
  <si>
    <t>CS10742</t>
  </si>
  <si>
    <t>CTC Legal Chambers - Smart Electrical Metering (8th Floor - Wale)</t>
  </si>
  <si>
    <t>2025-10-29 10:31:09</t>
  </si>
  <si>
    <t>2025-10-29 15:36:44</t>
  </si>
  <si>
    <t>QU3158</t>
  </si>
  <si>
    <t>St Francis Links</t>
  </si>
  <si>
    <t>CS10743</t>
  </si>
  <si>
    <t>St Francis Links - Smart Electrical and Water Metering Solution</t>
  </si>
  <si>
    <t>2025-10-29 14:34:54</t>
  </si>
  <si>
    <t>2025-10-29 14:58:32</t>
  </si>
  <si>
    <t>QU3159</t>
  </si>
  <si>
    <t>InoFort Proprietary Limited [Island Works]</t>
  </si>
  <si>
    <t>CS10130</t>
  </si>
  <si>
    <t>Island Works</t>
  </si>
  <si>
    <t>Island Works - Electrical Meter</t>
  </si>
  <si>
    <t>QRY10081</t>
  </si>
  <si>
    <t>2025-10-30 14:12:03</t>
  </si>
  <si>
    <t>2025-11-17 12:11:17</t>
  </si>
  <si>
    <t>QU3160</t>
  </si>
  <si>
    <t>Inospace 3 (Pty) Ltd - Jagger</t>
  </si>
  <si>
    <t>CS10665</t>
  </si>
  <si>
    <t>Jagger</t>
  </si>
  <si>
    <t>Jagger Works - Electrical Meters</t>
  </si>
  <si>
    <t>QRY10082</t>
  </si>
  <si>
    <t>2025-10-30 14:13:22</t>
  </si>
  <si>
    <t>2025-10-30 14:35:27</t>
  </si>
  <si>
    <t>QU3161</t>
  </si>
  <si>
    <t>Deal Commerce Property Fund No 18 (Pty) Ltd</t>
  </si>
  <si>
    <t>Salt Exchange</t>
  </si>
  <si>
    <t>Salt River Exchange - Electrical Meters</t>
  </si>
  <si>
    <t>QRY10083</t>
  </si>
  <si>
    <t>2025-10-30 14:15:36</t>
  </si>
  <si>
    <t>2025-10-30 14:35:21</t>
  </si>
  <si>
    <t>QU3162</t>
  </si>
  <si>
    <t>Liston's Electrical</t>
  </si>
  <si>
    <t>Clem Morris Industrial Park</t>
  </si>
  <si>
    <t>Stock Sale - Electrical Meter</t>
  </si>
  <si>
    <t>2025-11-30 00:00:00</t>
  </si>
  <si>
    <t>QRY10084</t>
  </si>
  <si>
    <t>2025-10-31 11:57:02</t>
  </si>
  <si>
    <t>2025-10-31 13:45:58</t>
  </si>
  <si>
    <t>QU3163</t>
  </si>
  <si>
    <t>PR221 102 Pepler Street</t>
  </si>
  <si>
    <t>PR221 102 Pepler Street - Smart Electrical Metering</t>
  </si>
  <si>
    <t>2025-11-03 00:00:00</t>
  </si>
  <si>
    <t>2025-12-03 00:00:00</t>
  </si>
  <si>
    <t>2025-10-31 12:31:53</t>
  </si>
  <si>
    <t>2025-11-03 14:25:26</t>
  </si>
  <si>
    <t>QU3165</t>
  </si>
  <si>
    <t>Island Works - Block E - Daff</t>
  </si>
  <si>
    <t>2025-11-03 12:15:29</t>
  </si>
  <si>
    <t>2025-11-05 12:01:21</t>
  </si>
  <si>
    <t>QU3166</t>
  </si>
  <si>
    <t>Allandale Exchange</t>
  </si>
  <si>
    <t>Allandale Exchange - Smart Water Metering - Municipal Check</t>
  </si>
  <si>
    <t>2025-11-03 12:18:25</t>
  </si>
  <si>
    <t>2025-11-05 06:14:53</t>
  </si>
  <si>
    <t>QU3167</t>
  </si>
  <si>
    <t>QRY10087</t>
  </si>
  <si>
    <t>2025-11-03 14:11:59</t>
  </si>
  <si>
    <t>2025-11-03 14:20:54</t>
  </si>
  <si>
    <t>QU3170</t>
  </si>
  <si>
    <t>Sandton Square - Replace Faulty Meter - Municipal Check</t>
  </si>
  <si>
    <t>2025-11-04 00:00:00</t>
  </si>
  <si>
    <t>2025-12-04 00:00:00</t>
  </si>
  <si>
    <t>2025-11-03 15:04:38</t>
  </si>
  <si>
    <t>2026-02-17 14:14:45</t>
  </si>
  <si>
    <t>QU3171</t>
  </si>
  <si>
    <t>BKB</t>
  </si>
  <si>
    <t>PO TA0044800 BKB - Water Meter Replacements (Amended 4/3/26)</t>
  </si>
  <si>
    <t>2026-03-04 00:00:00</t>
  </si>
  <si>
    <t>2026-04-03 00:00:00</t>
  </si>
  <si>
    <t>JC10062</t>
  </si>
  <si>
    <t>2025-11-05 06:25:08</t>
  </si>
  <si>
    <t>2026-03-10 12:29:02</t>
  </si>
  <si>
    <t>QU3172</t>
  </si>
  <si>
    <t>Crane's Crest Investments 74 (PTY) LTD</t>
  </si>
  <si>
    <t>Woodpecker</t>
  </si>
  <si>
    <t>Mega Saver Meats</t>
  </si>
  <si>
    <t>13 Woodpecker - Smart Electrical &amp; Water Metering</t>
  </si>
  <si>
    <t>2025-11-05 00:00:00</t>
  </si>
  <si>
    <t>2025-12-05 00:00:00</t>
  </si>
  <si>
    <t>PJ10006</t>
  </si>
  <si>
    <t>2025-11-05 06:36:41</t>
  </si>
  <si>
    <t>2026-02-17 14:27:19</t>
  </si>
  <si>
    <t>QU3173</t>
  </si>
  <si>
    <t>Princess Mkabayi Mall</t>
  </si>
  <si>
    <t>OoSt Street</t>
  </si>
  <si>
    <t>Princess Mkabayi - Stock Sale - DN40 Water Meters</t>
  </si>
  <si>
    <t>QRY10090</t>
  </si>
  <si>
    <t>2025-11-05 08:27:43</t>
  </si>
  <si>
    <t>2025-11-05 11:42:16</t>
  </si>
  <si>
    <t>QU3174</t>
  </si>
  <si>
    <t>Berendts Investment Holdings</t>
  </si>
  <si>
    <t>270 Cape Road</t>
  </si>
  <si>
    <t>270 Cape Road - Borehole Water Meter Replacement</t>
  </si>
  <si>
    <t>QRY10089</t>
  </si>
  <si>
    <t>2025-11-05 08:32:26</t>
  </si>
  <si>
    <t>2025-11-05 11:34:45</t>
  </si>
  <si>
    <t>QU3175</t>
  </si>
  <si>
    <t>321 Main Rd Observatory</t>
  </si>
  <si>
    <t>321 Main Rd</t>
  </si>
  <si>
    <t>321 Main Road Observatory - Smart Electrical Metering</t>
  </si>
  <si>
    <t>2025-11-05 09:35:46</t>
  </si>
  <si>
    <t>2025-11-05 09:37:24</t>
  </si>
  <si>
    <t>QU3176</t>
  </si>
  <si>
    <t>Nelspruit City Centre - Smart Electrical Metering</t>
  </si>
  <si>
    <t>QRY10091</t>
  </si>
  <si>
    <t>2025-11-05 11:40:57</t>
  </si>
  <si>
    <t>2025-11-06 12:16:35</t>
  </si>
  <si>
    <t>QU3177</t>
  </si>
  <si>
    <t>Sean Clarke</t>
  </si>
  <si>
    <t>Cnr Thunderbolt &amp; Amelia</t>
  </si>
  <si>
    <t>Cnr Thunderbolt &amp; Amelia (Aeropark)</t>
  </si>
  <si>
    <t>Cnr Thunderbolt &amp; Amelia - Smart Metering - Commissioning</t>
  </si>
  <si>
    <t>2025-12-06 00:00:00</t>
  </si>
  <si>
    <t>QRY10093</t>
  </si>
  <si>
    <t>2025-11-06 09:28:07</t>
  </si>
  <si>
    <t>2025-11-07 10:48:07</t>
  </si>
  <si>
    <t>QU3178</t>
  </si>
  <si>
    <t>Heinrich Stapelberg</t>
  </si>
  <si>
    <t>Milltrans Port Elizabeth</t>
  </si>
  <si>
    <t>16 Studebaker str, Port Elizabeth</t>
  </si>
  <si>
    <t>Milltrans - Smart Water Metering</t>
  </si>
  <si>
    <t>2025-12-12 00:00:00</t>
  </si>
  <si>
    <t>QRY10085</t>
  </si>
  <si>
    <t>2025-11-06 10:37:54</t>
  </si>
  <si>
    <t>2025-11-12 16:16:13</t>
  </si>
  <si>
    <t>QU3179</t>
  </si>
  <si>
    <t>Allandale Exchange - Prepaid Electrical Metering - Once Off Set Up Costs</t>
  </si>
  <si>
    <t>2025-11-06 10:51:01</t>
  </si>
  <si>
    <t>2026-02-17 14:32:34</t>
  </si>
  <si>
    <t>QU3180</t>
  </si>
  <si>
    <t>WAIT Cnr Thunderbolt &amp; Amelia - Unit 6 Oxygen Tyres 1 &amp; 2 - Water Meter Replacements</t>
  </si>
  <si>
    <t>2025-11-06 16:04:11</t>
  </si>
  <si>
    <t>2025-11-06 16:16:02</t>
  </si>
  <si>
    <t>QU3181</t>
  </si>
  <si>
    <t>Allandale Exchange - Prepaid Metering - Monthly Costs</t>
  </si>
  <si>
    <t>2025-12-07 00:00:00</t>
  </si>
  <si>
    <t>2025-11-07 10:29:23</t>
  </si>
  <si>
    <t>2025-11-11 11:54:23</t>
  </si>
  <si>
    <t>QU3182</t>
  </si>
  <si>
    <t>Unit 6 Jagger Works - Internal Modem (Stock Only)</t>
  </si>
  <si>
    <t>2025-11-07 14:18:47</t>
  </si>
  <si>
    <t>2025-11-07 14:23:01</t>
  </si>
  <si>
    <t>QU3183</t>
  </si>
  <si>
    <t>Unit 6 Jagger Works - Internal Modem (+ Commissioning)</t>
  </si>
  <si>
    <t>2025-11-10 00:00:00</t>
  </si>
  <si>
    <t>2025-12-10 00:00:00</t>
  </si>
  <si>
    <t>2025-11-07 14:19:40</t>
  </si>
  <si>
    <t>2026-02-17 14:32:54</t>
  </si>
  <si>
    <t>QU3184</t>
  </si>
  <si>
    <t>40 Eagle Street</t>
  </si>
  <si>
    <t>40 Eagle Street - Water Meter Replacements</t>
  </si>
  <si>
    <t>2025-11-07 15:47:11</t>
  </si>
  <si>
    <t>2025-11-10 11:19:55</t>
  </si>
  <si>
    <t>QU3185</t>
  </si>
  <si>
    <t>PO Box 7021</t>
  </si>
  <si>
    <t>High Street - Water Meter replacements</t>
  </si>
  <si>
    <t>2025-11-07 15:53:16</t>
  </si>
  <si>
    <t>2025-11-10 11:19:48</t>
  </si>
  <si>
    <t>QU3186</t>
  </si>
  <si>
    <t>Dolphins Leap - Shop 02/03 - Water Meter Replacement</t>
  </si>
  <si>
    <t>JC10066</t>
  </si>
  <si>
    <t>2025-11-10 09:30:10</t>
  </si>
  <si>
    <t>2026-02-17 14:39:07</t>
  </si>
  <si>
    <t>QU3187</t>
  </si>
  <si>
    <t>PO 135074 Middleburg Mall - Stock Sale - DN40s</t>
  </si>
  <si>
    <t>QRY10094</t>
  </si>
  <si>
    <t>2025-11-10 09:32:27</t>
  </si>
  <si>
    <t>2026-04-14 11:27:19</t>
  </si>
  <si>
    <t>QU3188</t>
  </si>
  <si>
    <t>PO74563 Unit 07&amp;08 - ABSA - Water Meter Replacement</t>
  </si>
  <si>
    <t>2025-11-10 09:44:24</t>
  </si>
  <si>
    <t>2026-02-17 14:38:34</t>
  </si>
  <si>
    <t>QU3189</t>
  </si>
  <si>
    <t>PEC Place - Water Meter Replacements</t>
  </si>
  <si>
    <t>2025-11-10 11:14:07</t>
  </si>
  <si>
    <t>2025-11-10 11:19:43</t>
  </si>
  <si>
    <t>QU3190</t>
  </si>
  <si>
    <t>76 Madeira St</t>
  </si>
  <si>
    <t>Transkei 76 - Water Meter Replcaements</t>
  </si>
  <si>
    <t>2025-11-10 11:18:40</t>
  </si>
  <si>
    <t>2025-11-10 11:18:58</t>
  </si>
  <si>
    <t>QU3191</t>
  </si>
  <si>
    <t>Mama Africa (Dundas Street)</t>
  </si>
  <si>
    <t>Mama Afrika (Dundas St) - Gateway</t>
  </si>
  <si>
    <t>2025-11-10 11:24:54</t>
  </si>
  <si>
    <t>2025-11-10 11:25:02</t>
  </si>
  <si>
    <t>QU3192</t>
  </si>
  <si>
    <t>Summerpride Foods - Smart Electrical Metering</t>
  </si>
  <si>
    <t>JC10204</t>
  </si>
  <si>
    <t>2025-11-10 12:34:01</t>
  </si>
  <si>
    <t>2026-02-24 12:24:51</t>
  </si>
  <si>
    <t>QU3193</t>
  </si>
  <si>
    <t>Ndamara Service Station (Pty) Ltd</t>
  </si>
  <si>
    <t>CS10189</t>
  </si>
  <si>
    <t>Fort Gale</t>
  </si>
  <si>
    <t>Ndamara Service Station - Modem Replacement</t>
  </si>
  <si>
    <t>2025-11-10 12:35:56</t>
  </si>
  <si>
    <t>2026-02-17 14:33:40</t>
  </si>
  <si>
    <t>QU3194</t>
  </si>
  <si>
    <t>New Heights - The Sawmill (Ulva Farm) - Full Load meter</t>
  </si>
  <si>
    <t>2025-12-13 00:00:00</t>
  </si>
  <si>
    <t>QRY10097</t>
  </si>
  <si>
    <t>2025-11-11 09:37:15</t>
  </si>
  <si>
    <t>2026-02-17 14:31:37</t>
  </si>
  <si>
    <t>QU3195</t>
  </si>
  <si>
    <t>PR069 Dorbyl Struandale (Isuzu) - Smart Electrical Metering + Water Metering Comms</t>
  </si>
  <si>
    <t>2025-11-17 00:00:00</t>
  </si>
  <si>
    <t>2025-12-17 00:00:00</t>
  </si>
  <si>
    <t>2025-11-11 12:11:40</t>
  </si>
  <si>
    <t>2025-11-17 10:55:38</t>
  </si>
  <si>
    <t>QU3196</t>
  </si>
  <si>
    <t>InoFort Proprietary Limited [Olympia Works]</t>
  </si>
  <si>
    <t>11 Olympia Street</t>
  </si>
  <si>
    <t>Olympia Works - Prepaid Metering - Monthly Costs</t>
  </si>
  <si>
    <t>2025-11-11 00:00:00</t>
  </si>
  <si>
    <t>2025-12-11 00:00:00</t>
  </si>
  <si>
    <t>QRY10100</t>
  </si>
  <si>
    <t>2025-11-11 12:54:50</t>
  </si>
  <si>
    <t>2025-11-17 12:37:10</t>
  </si>
  <si>
    <t>QU3197</t>
  </si>
  <si>
    <t>Olympia Works - Prepaid Metering - Once Off Set Up Costs</t>
  </si>
  <si>
    <t>2025-11-11 12:58:43</t>
  </si>
  <si>
    <t>2025-11-17 12:37:06</t>
  </si>
  <si>
    <t>QU3198</t>
  </si>
  <si>
    <t>Trueprop Facilities (Pty) Ltd</t>
  </si>
  <si>
    <t>32 Dyer St</t>
  </si>
  <si>
    <t>JC64364 - Unit 12 32 Dyer - DN20 Water Meter</t>
  </si>
  <si>
    <t>QRY10098</t>
  </si>
  <si>
    <t>2025-11-11 14:10:27</t>
  </si>
  <si>
    <t>2026-01-09 11:00:08</t>
  </si>
  <si>
    <t>QU3199</t>
  </si>
  <si>
    <t>Bellville Mall</t>
  </si>
  <si>
    <t>Bellville Mall - Water Meter Retrofit</t>
  </si>
  <si>
    <t>2025-11-11 15:02:36</t>
  </si>
  <si>
    <t>2025-11-12 15:20:57</t>
  </si>
  <si>
    <t>QU3200</t>
  </si>
  <si>
    <t>Milford Farm (Cornish Abattoir) - Full Load Meter</t>
  </si>
  <si>
    <t>QRY10101</t>
  </si>
  <si>
    <t>2025-11-12 10:35:28</t>
  </si>
  <si>
    <t>2026-02-17 14:30:45</t>
  </si>
  <si>
    <t>QU3201</t>
  </si>
  <si>
    <t>2025-11-12 10:38:43</t>
  </si>
  <si>
    <t>2025-11-12 10:39:57</t>
  </si>
  <si>
    <t>QU3202</t>
  </si>
  <si>
    <t>Alpha Omega (Pty) Ltd</t>
  </si>
  <si>
    <t>Main</t>
  </si>
  <si>
    <t>14 Seeventh Avenue</t>
  </si>
  <si>
    <t>Blackwood Business Park - DN20 Water Meters</t>
  </si>
  <si>
    <t>QRY10102</t>
  </si>
  <si>
    <t>2025-11-12 14:19:13</t>
  </si>
  <si>
    <t>2026-02-17 14:17:31</t>
  </si>
  <si>
    <t>QU3203</t>
  </si>
  <si>
    <t>Neave Industrial - Units 1 &amp; 2 - Comms Module + Commissioning</t>
  </si>
  <si>
    <t>QRY10103</t>
  </si>
  <si>
    <t>2025-11-12 14:41:30</t>
  </si>
  <si>
    <t>2026-02-17 14:31:08</t>
  </si>
  <si>
    <t>QU3204</t>
  </si>
  <si>
    <t>Crystal Ball Properties 156 (Pty) Ltd</t>
  </si>
  <si>
    <t>Mdantsane Shopping Centre</t>
  </si>
  <si>
    <t>Mdantsane Village - Main Low Flow - Replacement Water Meter</t>
  </si>
  <si>
    <t>JC10075</t>
  </si>
  <si>
    <t>2025-11-13 12:02:42</t>
  </si>
  <si>
    <t>2026-02-17 14:19:44</t>
  </si>
  <si>
    <t>QU3205</t>
  </si>
  <si>
    <t>PO 74491 6-8 Donald - Municipal Check Replacement Meter</t>
  </si>
  <si>
    <t>2025-12-14 00:00:00</t>
  </si>
  <si>
    <t>QRY10107</t>
  </si>
  <si>
    <t>2025-11-14 09:06:33</t>
  </si>
  <si>
    <t>2026-02-17 11:49:52</t>
  </si>
  <si>
    <t>QU3206</t>
  </si>
  <si>
    <t>Collondale Cannery (Pty) Ltd t/a Shelford Jams and Juices</t>
  </si>
  <si>
    <t>Shelford Jams and Juices</t>
  </si>
  <si>
    <t>Mdubu Road, EL IDZ, Lower Chester Road,</t>
  </si>
  <si>
    <t>Mdubu Road (Shelford Jams and Juices) - Smart Electrical Metering</t>
  </si>
  <si>
    <t>JC10067</t>
  </si>
  <si>
    <t>2025-11-14 10:02:11</t>
  </si>
  <si>
    <t>2026-02-17 11:47:13</t>
  </si>
  <si>
    <t>QU3207</t>
  </si>
  <si>
    <t>Utility Pal (Pty) Ltd</t>
  </si>
  <si>
    <t>Cnr De Beers Avenue &amp; Broadway Blvd Shop G5B</t>
  </si>
  <si>
    <t>Utility Pal - Stock Sale - DN100 Water Meter</t>
  </si>
  <si>
    <t>2025-11-18 00:00:00</t>
  </si>
  <si>
    <t>2025-12-18 00:00:00</t>
  </si>
  <si>
    <t>QRY10108</t>
  </si>
  <si>
    <t>2025-11-18 08:55:28</t>
  </si>
  <si>
    <t>2026-02-16 15:06:55</t>
  </si>
  <si>
    <t>QU3208</t>
  </si>
  <si>
    <t>Inofort Proprietary Limited [Lanzerac Works]</t>
  </si>
  <si>
    <t>51 Wale Street</t>
  </si>
  <si>
    <t>Lanzerac Works - Unit 20 &amp; 21 Split - Electrical Metering</t>
  </si>
  <si>
    <t>QRY10109</t>
  </si>
  <si>
    <t>2025-11-18 11:08:50</t>
  </si>
  <si>
    <t>2025-11-18 11:23:03</t>
  </si>
  <si>
    <t>QU3209</t>
  </si>
  <si>
    <t>The Techbutler CC</t>
  </si>
  <si>
    <t>42 Ambar Downs</t>
  </si>
  <si>
    <t>The Techbutler - Stock Sale - DN80s</t>
  </si>
  <si>
    <t>QRY10111</t>
  </si>
  <si>
    <t>2025-11-18 15:55:25</t>
  </si>
  <si>
    <t>2026-02-17 14:21:02</t>
  </si>
  <si>
    <t>QU3210</t>
  </si>
  <si>
    <t>West Street Management (Pty) Ltd</t>
  </si>
  <si>
    <t>West Str Mng</t>
  </si>
  <si>
    <t>7 Lockheed St, Gqeberha, 6070</t>
  </si>
  <si>
    <t>Stamford Place - Folivex - Water Meter Replacement</t>
  </si>
  <si>
    <t>2025-12-19 00:00:00</t>
  </si>
  <si>
    <t>QRY10112</t>
  </si>
  <si>
    <t>2025-11-19 09:46:32</t>
  </si>
  <si>
    <t>2026-02-17 14:20:24</t>
  </si>
  <si>
    <t>QU3211</t>
  </si>
  <si>
    <t>Mobi Power (Pty) Ltd</t>
  </si>
  <si>
    <t>Unit 4, 39 Bodmin Road (c/o Telewaren &amp; Bodmin Roads)</t>
  </si>
  <si>
    <t>Mobi Power - Stock Sale - Smart Water Meters</t>
  </si>
  <si>
    <t>QRY10113</t>
  </si>
  <si>
    <t>2025-11-19 12:39:18</t>
  </si>
  <si>
    <t>2026-02-17 14:19:56</t>
  </si>
  <si>
    <t>QU3213</t>
  </si>
  <si>
    <t>Maitland Industrial Park - Water Meter Retrofit</t>
  </si>
  <si>
    <t>2025-11-19 16:14:01</t>
  </si>
  <si>
    <t>kyle@republicmetering.co.za</t>
  </si>
  <si>
    <t>2026-02-23 14:20:13</t>
  </si>
  <si>
    <t>QU3214</t>
  </si>
  <si>
    <t>Nautica Shopping Centre - Water Meter Retrofit</t>
  </si>
  <si>
    <t>2025-11-19 16:16:23</t>
  </si>
  <si>
    <t>2026-05-22 12:20:44</t>
  </si>
  <si>
    <t>QU3215</t>
  </si>
  <si>
    <t>Victoria Girls High School</t>
  </si>
  <si>
    <t>VGHS - SMart Eelectrical Metering (New Stock)</t>
  </si>
  <si>
    <t>2025-12-20 00:00:00</t>
  </si>
  <si>
    <t>JC10110</t>
  </si>
  <si>
    <t>2025-11-20 09:20:09</t>
  </si>
  <si>
    <t>2026-02-23 10:20:36</t>
  </si>
  <si>
    <t>QU3216</t>
  </si>
  <si>
    <t>PO6395 VGHS - Smart Electrical Metering (Old Stock)</t>
  </si>
  <si>
    <t>2025-11-20 09:21:24</t>
  </si>
  <si>
    <t>2026-02-23 10:21:42</t>
  </si>
  <si>
    <t>QU3217</t>
  </si>
  <si>
    <t>PR221 102 Pepler St - Smart Water Metering</t>
  </si>
  <si>
    <t>JC10254</t>
  </si>
  <si>
    <t>2025-11-24 08:46:32</t>
  </si>
  <si>
    <t>2026-01-23 15:10:30</t>
  </si>
  <si>
    <t>QU3219</t>
  </si>
  <si>
    <t>Owen Solomon</t>
  </si>
  <si>
    <t>Owen Solomon - Smart Electrical and Water Metering</t>
  </si>
  <si>
    <t>QRY10118</t>
  </si>
  <si>
    <t>2025-11-24 14:09:33</t>
  </si>
  <si>
    <t>2025-11-24 15:22:43</t>
  </si>
  <si>
    <t>QU3220</t>
  </si>
  <si>
    <t>Tec Partners - Stock Sale - Water Meter</t>
  </si>
  <si>
    <t>QRY10117</t>
  </si>
  <si>
    <t>2025-11-24 14:47:12</t>
  </si>
  <si>
    <t>2026-02-17 14:33:49</t>
  </si>
  <si>
    <t>QU3221</t>
  </si>
  <si>
    <t>Musina - Stock Sale - Electrical Meters</t>
  </si>
  <si>
    <t>QRY10116</t>
  </si>
  <si>
    <t>2025-11-24 14:58:57</t>
  </si>
  <si>
    <t>2025-11-24 16:02:30</t>
  </si>
  <si>
    <t>QU3222</t>
  </si>
  <si>
    <t>Deal Commerce Property Fund No 1 (Pty) Ltd</t>
  </si>
  <si>
    <t>The Block - Electrical Meters - DFA Node Room + Inospace Services</t>
  </si>
  <si>
    <t>QRY10115</t>
  </si>
  <si>
    <t>2025-11-24 15:01:12</t>
  </si>
  <si>
    <t>2026-02-17 14:21:55</t>
  </si>
  <si>
    <t>QU3223</t>
  </si>
  <si>
    <t>PR262 Venture Rosslyn - Smart Water Metering</t>
  </si>
  <si>
    <t>JC10253</t>
  </si>
  <si>
    <t>2025-11-25 08:47:16</t>
  </si>
  <si>
    <t>2026-01-23 15:13:46</t>
  </si>
  <si>
    <t>QU3224</t>
  </si>
  <si>
    <t>SKEPO-017178 Klerksdorp T1 - Stock Sale - Electrical Meter</t>
  </si>
  <si>
    <t>QRY10120</t>
  </si>
  <si>
    <t>2025-11-25 12:35:16</t>
  </si>
  <si>
    <t>2026-02-17 14:23:09</t>
  </si>
  <si>
    <t>QU3225</t>
  </si>
  <si>
    <t>SKEPO-017178 Bathopele - 91 Commissioner - Stock Sale - Electrical Meter</t>
  </si>
  <si>
    <t>2025-11-25 12:35:49</t>
  </si>
  <si>
    <t>2026-02-17 14:23:29</t>
  </si>
  <si>
    <t>QU3226</t>
  </si>
  <si>
    <t>SKEPO-017181 Valoworx Meters - Stock Sale - Electrical Meters</t>
  </si>
  <si>
    <t>QRY10121</t>
  </si>
  <si>
    <t>2025-11-25 12:53:05</t>
  </si>
  <si>
    <t>2026-02-17 14:23:41</t>
  </si>
  <si>
    <t>QU3227</t>
  </si>
  <si>
    <t>Vascomax (Pty) Ltd</t>
  </si>
  <si>
    <t>95 Grahamstown Rd</t>
  </si>
  <si>
    <t>95 Grahamstown Rd - Site Audit</t>
  </si>
  <si>
    <t>2025-12-26 00:00:00</t>
  </si>
  <si>
    <t>QRY10122</t>
  </si>
  <si>
    <t>2025-11-26 08:30:25</t>
  </si>
  <si>
    <t>2026-02-17 16:30:23</t>
  </si>
  <si>
    <t>QU3228</t>
  </si>
  <si>
    <t>Eastern Switchgear cc</t>
  </si>
  <si>
    <t>P.O. Box 3539</t>
  </si>
  <si>
    <t>QRY10124</t>
  </si>
  <si>
    <t>2025-11-26 14:10:03</t>
  </si>
  <si>
    <t>2026-02-17 14:26:21</t>
  </si>
  <si>
    <t>QU3229</t>
  </si>
  <si>
    <t>Robertec Electronic Control Systems</t>
  </si>
  <si>
    <t>620 Kudu Street</t>
  </si>
  <si>
    <t>QRY10125</t>
  </si>
  <si>
    <t>2025-11-26 14:49:14</t>
  </si>
  <si>
    <t>2026-02-17 14:23:57</t>
  </si>
  <si>
    <t>QU3230</t>
  </si>
  <si>
    <t>Cnr Walter Sisulu &amp; Kiewiet Rd - Smart Water Meteribg</t>
  </si>
  <si>
    <t>2026-01-03 00:00:00</t>
  </si>
  <si>
    <t>2025-11-26 15:11:19</t>
  </si>
  <si>
    <t>2025-12-04 10:29:46</t>
  </si>
  <si>
    <t>QU3231</t>
  </si>
  <si>
    <t>21 Scott St</t>
  </si>
  <si>
    <t>Eldo Eenergy - Stock Sale - Water Metering</t>
  </si>
  <si>
    <t>2025-12-27 00:00:00</t>
  </si>
  <si>
    <t>QRY10126</t>
  </si>
  <si>
    <t>2025-11-27 10:39:29</t>
  </si>
  <si>
    <t>2026-02-17 14:26:09</t>
  </si>
  <si>
    <t>QU3232</t>
  </si>
  <si>
    <t>Plot 129 Old Klipriver Road - Smart Electrical Metering</t>
  </si>
  <si>
    <t>JC10098</t>
  </si>
  <si>
    <t>2025-11-27 15:20:03</t>
  </si>
  <si>
    <t>2026-02-17 14:28:51</t>
  </si>
  <si>
    <t>QU3233</t>
  </si>
  <si>
    <t>2025-12-28 00:00:00</t>
  </si>
  <si>
    <t>QRY10127</t>
  </si>
  <si>
    <t>2025-11-28 08:40:35</t>
  </si>
  <si>
    <t>2026-02-17 14:29:59</t>
  </si>
  <si>
    <t>QU3234</t>
  </si>
  <si>
    <t>John Paul Waites</t>
  </si>
  <si>
    <t>JP Cubed</t>
  </si>
  <si>
    <t>26 Glen Eagles Road, Greenside, JHB</t>
  </si>
  <si>
    <t>Greenside - Smart Water and Electrical Metering</t>
  </si>
  <si>
    <t>JC10097</t>
  </si>
  <si>
    <t>2025-11-28 14:38:49</t>
  </si>
  <si>
    <t>2025-12-02 10:53:30</t>
  </si>
  <si>
    <t>QU3235</t>
  </si>
  <si>
    <t>Shelford Jams and Juice - Metcom Meter</t>
  </si>
  <si>
    <t>QRY10128</t>
  </si>
  <si>
    <t>2025-11-28 14:47:54</t>
  </si>
  <si>
    <t>2025-12-02 15:28:32</t>
  </si>
  <si>
    <t>QU3236</t>
  </si>
  <si>
    <t>20 Bert Kipling Road,</t>
  </si>
  <si>
    <t>2025-12-02 00:00:00</t>
  </si>
  <si>
    <t>2026-01-01 00:00:00</t>
  </si>
  <si>
    <t>QRY10131</t>
  </si>
  <si>
    <t>2025-12-02 08:51:31</t>
  </si>
  <si>
    <t>2026-02-17 14:28:24</t>
  </si>
  <si>
    <t>QU3237</t>
  </si>
  <si>
    <t>Lougot Property Investment (Pty) Ltd</t>
  </si>
  <si>
    <t>CS10167</t>
  </si>
  <si>
    <t>Paarl Drakenstein 1 Breda St</t>
  </si>
  <si>
    <t>1 Breda St - Nedbank - SIte Audit</t>
  </si>
  <si>
    <t>QRY10132</t>
  </si>
  <si>
    <t>2025-12-02 09:12:47</t>
  </si>
  <si>
    <t>2025-12-02 10:56:29</t>
  </si>
  <si>
    <t>QU3238</t>
  </si>
  <si>
    <t>Lovemore Children Primary Trust</t>
  </si>
  <si>
    <t>Heatherbank Farm</t>
  </si>
  <si>
    <t>Heatherbank Farm - Site Inspection</t>
  </si>
  <si>
    <t>QRY10130</t>
  </si>
  <si>
    <t>2025-12-02 09:18:01</t>
  </si>
  <si>
    <t>2025-12-02 11:31:58</t>
  </si>
  <si>
    <t>QU3239</t>
  </si>
  <si>
    <t>Stock Sale - Split Core CTs</t>
  </si>
  <si>
    <t>QRY10133</t>
  </si>
  <si>
    <t>2025-12-02 10:17:52</t>
  </si>
  <si>
    <t>2026-02-17 14:40:04</t>
  </si>
  <si>
    <t>QU3240</t>
  </si>
  <si>
    <t>Wild Coast Abalone (Pty) Ltd</t>
  </si>
  <si>
    <t>Haga Haga</t>
  </si>
  <si>
    <t>Sean</t>
  </si>
  <si>
    <t>Haga Haga - Commissioning of Landis + Gyr</t>
  </si>
  <si>
    <t>2026-02-24 00:00:00</t>
  </si>
  <si>
    <t>2026-03-26 00:00:00</t>
  </si>
  <si>
    <t>JC10064</t>
  </si>
  <si>
    <t>2025-12-02 12:54:26</t>
  </si>
  <si>
    <t>2026-02-24 09:00:13</t>
  </si>
  <si>
    <t>QU3241</t>
  </si>
  <si>
    <t>Haga Haga - Metcom Option</t>
  </si>
  <si>
    <t>2025-12-02 15:31:02</t>
  </si>
  <si>
    <t>2025-12-02 15:38:28</t>
  </si>
  <si>
    <t>QU3242</t>
  </si>
  <si>
    <t>Nelspruit City Centre</t>
  </si>
  <si>
    <t>JC10108</t>
  </si>
  <si>
    <t>2025-12-02 16:11:31</t>
  </si>
  <si>
    <t>2026-03-10 12:31:56</t>
  </si>
  <si>
    <t>QU3243</t>
  </si>
  <si>
    <t>JC 65703 Nelspruit City Centre - Smart Water Metering</t>
  </si>
  <si>
    <t>2026-02-18 00:00:00</t>
  </si>
  <si>
    <t>2026-02-26 00:00:00</t>
  </si>
  <si>
    <t>JC10109</t>
  </si>
  <si>
    <t>2025-12-02 16:19:30</t>
  </si>
  <si>
    <t>2026-03-10 12:32:18</t>
  </si>
  <si>
    <t>QU3244</t>
  </si>
  <si>
    <t>Trueprop Industrial One</t>
  </si>
  <si>
    <t>5 Fuchs St (Erf 755)</t>
  </si>
  <si>
    <t>5 Fuchs Meter data download - August to November 2025</t>
  </si>
  <si>
    <t>2026-01-02 00:00:00</t>
  </si>
  <si>
    <t>JC10116</t>
  </si>
  <si>
    <t>2025-12-03 15:23:03</t>
  </si>
  <si>
    <t>2026-02-17 14:35:46</t>
  </si>
  <si>
    <t>QU3245</t>
  </si>
  <si>
    <t>Middleburg Mall - Stock Sale - Electrical Meters</t>
  </si>
  <si>
    <t>QRY10135</t>
  </si>
  <si>
    <t>2025-12-04 08:50:27</t>
  </si>
  <si>
    <t>2025-12-04 11:08:10</t>
  </si>
  <si>
    <t>QU3246</t>
  </si>
  <si>
    <t>Food Lovers Montana - Water Meter Replacements</t>
  </si>
  <si>
    <t>JC10239</t>
  </si>
  <si>
    <t>2025-12-04 09:05:54</t>
  </si>
  <si>
    <t>donovan@republicmetering.co.za</t>
  </si>
  <si>
    <t>2026-01-29 11:44:06</t>
  </si>
  <si>
    <t>QU3247</t>
  </si>
  <si>
    <t>Ukuhamba Traders (Pty) Ltd</t>
  </si>
  <si>
    <t>Kobus Marx</t>
  </si>
  <si>
    <t>Marx Elec - Stock Sale - Electrical Metering</t>
  </si>
  <si>
    <t>QRY10136</t>
  </si>
  <si>
    <t>2025-12-04 09:49:41</t>
  </si>
  <si>
    <t>2025-12-04 11:07:34</t>
  </si>
  <si>
    <t>QU3248</t>
  </si>
  <si>
    <t>Unified Property Management</t>
  </si>
  <si>
    <t>Geoff Stephen</t>
  </si>
  <si>
    <t>Pedro's Chicken</t>
  </si>
  <si>
    <t>Pedro's Chicken - Smart Electrical Metering</t>
  </si>
  <si>
    <t>QRY10137</t>
  </si>
  <si>
    <t>2025-12-04 15:28:03</t>
  </si>
  <si>
    <t>2026-02-17 14:34:50</t>
  </si>
  <si>
    <t>QU3249</t>
  </si>
  <si>
    <t>Shyft Power Solutions</t>
  </si>
  <si>
    <t>2026-01-04 00:00:00</t>
  </si>
  <si>
    <t>QRY10138</t>
  </si>
  <si>
    <t>2025-12-05 15:29:41</t>
  </si>
  <si>
    <t>2025-12-05 15:37:26</t>
  </si>
  <si>
    <t>QU3250</t>
  </si>
  <si>
    <t>Dynamic Emergency medical Services</t>
  </si>
  <si>
    <t>39 Main Rd, Gonubie, East London, 5257</t>
  </si>
  <si>
    <t>Dynamic Medical Services - Smart Electrical Metering</t>
  </si>
  <si>
    <t>2025-12-08 00:00:00</t>
  </si>
  <si>
    <t>2026-01-07 00:00:00</t>
  </si>
  <si>
    <t>QRY10142</t>
  </si>
  <si>
    <t>2025-12-08 09:51:01</t>
  </si>
  <si>
    <t>2025-12-08 11:39:47</t>
  </si>
  <si>
    <t>QU3251</t>
  </si>
  <si>
    <t>PO74799 32 Dyer - Unit 13 - Water Meter Replacement</t>
  </si>
  <si>
    <t>2026-01-10 00:00:00</t>
  </si>
  <si>
    <t>JC10131</t>
  </si>
  <si>
    <t>2025-12-08 09:55:40</t>
  </si>
  <si>
    <t>2026-02-18 12:39:53</t>
  </si>
  <si>
    <t>QU3252</t>
  </si>
  <si>
    <t>Banneton Bakery &amp; Cafe</t>
  </si>
  <si>
    <t>Banneton Bakery &amp; Cafe - Smart Electrical Metering</t>
  </si>
  <si>
    <t>QRY10141</t>
  </si>
  <si>
    <t>2025-12-08 10:49:47</t>
  </si>
  <si>
    <t>2026-03-10 12:34:51</t>
  </si>
  <si>
    <t>QU3253</t>
  </si>
  <si>
    <t>PR068 Dorbyl Uitenhage</t>
  </si>
  <si>
    <t>PR068 Dorbyl Uitenhage - Smart Water Metering</t>
  </si>
  <si>
    <t>2026-01-11 00:00:00</t>
  </si>
  <si>
    <t>JC10073</t>
  </si>
  <si>
    <t>2025-12-08 11:47:47</t>
  </si>
  <si>
    <t>2025-12-12 09:39:42</t>
  </si>
  <si>
    <t>QU3254</t>
  </si>
  <si>
    <t>GM Industrial Park Body Corporate (SLA)</t>
  </si>
  <si>
    <t>GM Industrial Park</t>
  </si>
  <si>
    <t>GM Industrial - Metcom Meters (Stock Only)</t>
  </si>
  <si>
    <t>QRY10144</t>
  </si>
  <si>
    <t>2025-12-08 12:54:43</t>
  </si>
  <si>
    <t>2025-12-08 15:26:36</t>
  </si>
  <si>
    <t>QU3255</t>
  </si>
  <si>
    <t>(old version) (New quote 3368) Maitland Industrial Park - Water Meter Replacement (Faulty)</t>
  </si>
  <si>
    <t>2026-01-06 00:00:00</t>
  </si>
  <si>
    <t>2026-02-05 00:00:00</t>
  </si>
  <si>
    <t>QRY10146</t>
  </si>
  <si>
    <t>2025-12-08 14:36:47</t>
  </si>
  <si>
    <t>2026-02-20 10:48:00</t>
  </si>
  <si>
    <t>QU3256</t>
  </si>
  <si>
    <t>Peer Works Logistics Park</t>
  </si>
  <si>
    <t>Peer Works - Modem (Stock Only)</t>
  </si>
  <si>
    <t>QRY10143</t>
  </si>
  <si>
    <t>2025-12-08 15:05:12</t>
  </si>
  <si>
    <t>2025-12-08 16:21:08</t>
  </si>
  <si>
    <t>QU3257</t>
  </si>
  <si>
    <t>Gonubie Centre - Flat 25 - Water Meter Replacement</t>
  </si>
  <si>
    <t>JC10122</t>
  </si>
  <si>
    <t>2025-12-08 16:09:25</t>
  </si>
  <si>
    <t>2026-02-17 08:44:28</t>
  </si>
  <si>
    <t>QU3258</t>
  </si>
  <si>
    <t>The SPAR Group Ltd (Boksburg)</t>
  </si>
  <si>
    <t>First Freight Couriers</t>
  </si>
  <si>
    <t>First Freight Couriers - Smart Electrical Metering</t>
  </si>
  <si>
    <t>2026-01-09 00:00:00</t>
  </si>
  <si>
    <t>QRY10145</t>
  </si>
  <si>
    <t>2025-12-10 10:57:19</t>
  </si>
  <si>
    <t>2025-12-10 12:12:26</t>
  </si>
  <si>
    <t>QU3260</t>
  </si>
  <si>
    <t>Peer Works</t>
  </si>
  <si>
    <t>Peer Works - Smart Electrical Meters</t>
  </si>
  <si>
    <t>QRY10147</t>
  </si>
  <si>
    <t>2025-12-11 14:09:33</t>
  </si>
  <si>
    <t>2026-02-17 08:45:03</t>
  </si>
  <si>
    <t>QU3261</t>
  </si>
  <si>
    <t>PO75327 Kings Mall - Shop 7 - Water Meter Replacement</t>
  </si>
  <si>
    <t>JC10115</t>
  </si>
  <si>
    <t>2025-12-11 14:13:19</t>
  </si>
  <si>
    <t>2026-03-10 12:35:20</t>
  </si>
  <si>
    <t>QU3262</t>
  </si>
  <si>
    <t>PO75743 Kings Mall - Shop 45 - Water Meter Replacement</t>
  </si>
  <si>
    <t>JC10126</t>
  </si>
  <si>
    <t>2025-12-11 15:49:49</t>
  </si>
  <si>
    <t>2026-05-20 08:43:47</t>
  </si>
  <si>
    <t>QU3263</t>
  </si>
  <si>
    <t>Dolphins Leap - Shop 01C - Bathroom - Water Meter Replacement</t>
  </si>
  <si>
    <t>JC10106</t>
  </si>
  <si>
    <t>2026-01-06 12:01:06</t>
  </si>
  <si>
    <t>2026-02-17 08:47:45</t>
  </si>
  <si>
    <t>QU3264</t>
  </si>
  <si>
    <t>Nautica Shopping Centre - Water Meter Replacements - Faulty Meters</t>
  </si>
  <si>
    <t>QRY10149</t>
  </si>
  <si>
    <t>2026-01-06 12:42:09</t>
  </si>
  <si>
    <t>2026-04-15 08:07:30</t>
  </si>
  <si>
    <t>QU3265</t>
  </si>
  <si>
    <t>PO 74870 Kings mall - Shop 32 - Water Meter Replacement</t>
  </si>
  <si>
    <t>2026-01-12 00:00:00</t>
  </si>
  <si>
    <t>2026-02-11 00:00:00</t>
  </si>
  <si>
    <t>JC10142</t>
  </si>
  <si>
    <t>2026-01-07 11:41:41</t>
  </si>
  <si>
    <t>2026-02-17 08:51:19</t>
  </si>
  <si>
    <t>QU3266</t>
  </si>
  <si>
    <t>Peer Works - Three-phase Electrical Meter (Stock Only)</t>
  </si>
  <si>
    <t>2026-02-06 00:00:00</t>
  </si>
  <si>
    <t>QRY10150</t>
  </si>
  <si>
    <t>2026-01-07 12:41:18</t>
  </si>
  <si>
    <t>2026-02-17 08:47:57</t>
  </si>
  <si>
    <t>QU3267</t>
  </si>
  <si>
    <t>Eldo Energy - Stock Sale - Water Meters</t>
  </si>
  <si>
    <t>2026-01-14 00:00:00</t>
  </si>
  <si>
    <t>QRY10151</t>
  </si>
  <si>
    <t>2026-01-07 15:30:42</t>
  </si>
  <si>
    <t>2026-01-08 13:51:09</t>
  </si>
  <si>
    <t>QU3268</t>
  </si>
  <si>
    <t>Grid Force Group</t>
  </si>
  <si>
    <t>Maitland Business Exchange - Plug in Modem - Stock Sale</t>
  </si>
  <si>
    <t>2026-01-08 00:00:00</t>
  </si>
  <si>
    <t>2026-02-07 00:00:00</t>
  </si>
  <si>
    <t>QRY10152</t>
  </si>
  <si>
    <t>2026-01-07 16:23:53</t>
  </si>
  <si>
    <t>2026-02-17 08:53:01</t>
  </si>
  <si>
    <t>QU3269</t>
  </si>
  <si>
    <t>Co-Props 27 (Pty) Ltd</t>
  </si>
  <si>
    <t>24 Kennington Rd</t>
  </si>
  <si>
    <t>24 Kennington Rd - Flat 1 - Water Meter Replacement</t>
  </si>
  <si>
    <t>JC10173</t>
  </si>
  <si>
    <t>2026-01-08 09:21:55</t>
  </si>
  <si>
    <t>2026-02-17 08:51:07</t>
  </si>
  <si>
    <t>QU3270</t>
  </si>
  <si>
    <t>PO 74869 32 Dyer - Unit 08 + 11 - Water Meter Replacement</t>
  </si>
  <si>
    <t>JC10182</t>
  </si>
  <si>
    <t>2026-01-08 13:58:46</t>
  </si>
  <si>
    <t>2026-02-23 16:09:11</t>
  </si>
  <si>
    <t>QU3271</t>
  </si>
  <si>
    <t>Dolphins Leap - Outside Tap - Refuse Area- Water Meter Replacement</t>
  </si>
  <si>
    <t>JC10153</t>
  </si>
  <si>
    <t>2026-01-12 08:56:48</t>
  </si>
  <si>
    <t>2026-02-17 08:50:57</t>
  </si>
  <si>
    <t>QU3272</t>
  </si>
  <si>
    <t>Powder Mill - Stock Sale - Electrical Meter</t>
  </si>
  <si>
    <t>QRY10153</t>
  </si>
  <si>
    <t>2026-01-12 11:08:06</t>
  </si>
  <si>
    <t>2026-02-17 08:53:12</t>
  </si>
  <si>
    <t>QU3273</t>
  </si>
  <si>
    <t>Grove Industrial Properties (Pty) Ltd</t>
  </si>
  <si>
    <t>161 Jan Smuts Ave</t>
  </si>
  <si>
    <t>161 Jan Smuts Ave - Muni Check - Water Meter Replacement</t>
  </si>
  <si>
    <t>2026-01-13 00:00:00</t>
  </si>
  <si>
    <t>2026-02-12 00:00:00</t>
  </si>
  <si>
    <t>JC10194</t>
  </si>
  <si>
    <t>2026-01-13 08:38:42</t>
  </si>
  <si>
    <t>2026-05-14 09:04:02</t>
  </si>
  <si>
    <t>QU3274</t>
  </si>
  <si>
    <t>QRY10154</t>
  </si>
  <si>
    <t>2026-01-13 10:15:19</t>
  </si>
  <si>
    <t>2026-02-17 14:40:35</t>
  </si>
  <si>
    <t>QU3275</t>
  </si>
  <si>
    <t>Heatherbank Farm - Lower Reservoir - Water Meter + Gateway (Supply Only)</t>
  </si>
  <si>
    <t>JC10118</t>
  </si>
  <si>
    <t>2026-01-13 11:49:23</t>
  </si>
  <si>
    <t>2026-01-13 15:42:58</t>
  </si>
  <si>
    <t>QU3276</t>
  </si>
  <si>
    <t>Armentum Properties (Pty) Ltd</t>
  </si>
  <si>
    <t>39A Plein St</t>
  </si>
  <si>
    <t>39A Plein St - Meter Data Download</t>
  </si>
  <si>
    <t>JC10195</t>
  </si>
  <si>
    <t>2026-01-13 12:24:05</t>
  </si>
  <si>
    <t>2026-01-13 15:58:47</t>
  </si>
  <si>
    <t>QU3277</t>
  </si>
  <si>
    <t>23 Cluver St - Meter Data Download</t>
  </si>
  <si>
    <t>JC10200</t>
  </si>
  <si>
    <t>2026-01-13 12:30:22</t>
  </si>
  <si>
    <t>2026-01-13 15:58:52</t>
  </si>
  <si>
    <t>QU3278</t>
  </si>
  <si>
    <t>U CAN SOLAR (Pty) Ltd</t>
  </si>
  <si>
    <t>Schenk Enterprises - Smart Electrical Metering - Municipal Check</t>
  </si>
  <si>
    <t>2026-01-15 00:00:00</t>
  </si>
  <si>
    <t>2026-02-14 00:00:00</t>
  </si>
  <si>
    <t>QRY10175</t>
  </si>
  <si>
    <t>2026-01-15 11:40:18</t>
  </si>
  <si>
    <t>2026-02-17 08:50:23</t>
  </si>
  <si>
    <t>QU3279</t>
  </si>
  <si>
    <t>321 Main Road Observatory</t>
  </si>
  <si>
    <t>2026-01-15 16:01:22</t>
  </si>
  <si>
    <t>2026-01-16 10:55:59</t>
  </si>
  <si>
    <t>QU3280</t>
  </si>
  <si>
    <t>Adcock Ingram Healthcare (Pty) Ltd</t>
  </si>
  <si>
    <t>Adcock Port Elizabeth</t>
  </si>
  <si>
    <t>21 Embassy Street - Water Meter replacement</t>
  </si>
  <si>
    <t>2026-01-21 00:00:00</t>
  </si>
  <si>
    <t>2026-02-20 00:00:00</t>
  </si>
  <si>
    <t>JC10235</t>
  </si>
  <si>
    <t>2026-01-16 11:52:38</t>
  </si>
  <si>
    <t>2026-01-21 10:31:31</t>
  </si>
  <si>
    <t>QU3281</t>
  </si>
  <si>
    <t>12 Middle - Virtual Generator Meter Monthly Fee</t>
  </si>
  <si>
    <t>2026-02-10 00:00:00</t>
  </si>
  <si>
    <t>2026-03-12 00:00:00</t>
  </si>
  <si>
    <t>2026-01-16 15:46:07</t>
  </si>
  <si>
    <t>2026-02-10 10:35:57</t>
  </si>
  <si>
    <t>QU3282</t>
  </si>
  <si>
    <t>Arc Electrical</t>
  </si>
  <si>
    <t>2a Sheerness Rd</t>
  </si>
  <si>
    <t>Arc Electrical - Stock Sale - 3Ph Electrical Meter</t>
  </si>
  <si>
    <t>2026-01-19 00:00:00</t>
  </si>
  <si>
    <t>QRY10155</t>
  </si>
  <si>
    <t>2026-01-19 11:35:33</t>
  </si>
  <si>
    <t>2026-02-17 08:50:00</t>
  </si>
  <si>
    <t>QU3283</t>
  </si>
  <si>
    <t>Space X Properties (Pty) Ltd</t>
  </si>
  <si>
    <t>Food Lovers Market Bothasig</t>
  </si>
  <si>
    <t>Food Lover Market Bothasig - Water Meter Replacements</t>
  </si>
  <si>
    <t>JC10160</t>
  </si>
  <si>
    <t>2026-01-19 11:51:15</t>
  </si>
  <si>
    <t>2026-01-21 08:51:36</t>
  </si>
  <si>
    <t>QU3284</t>
  </si>
  <si>
    <t>Novate Properties</t>
  </si>
  <si>
    <t>Novate - Stock Sale - DN150 Water Meter</t>
  </si>
  <si>
    <t>QRY10156</t>
  </si>
  <si>
    <t>2026-01-19 12:27:19</t>
  </si>
  <si>
    <t>2026-01-20 10:15:28</t>
  </si>
  <si>
    <t>QU3285</t>
  </si>
  <si>
    <t>KOCOS Measurement &amp; Control (Pty) Ltd</t>
  </si>
  <si>
    <t>PO Box 3585, Durbanville, Cape Town, Western Province, 7551</t>
  </si>
  <si>
    <t>KoCos - Stock Sale - Water Meters</t>
  </si>
  <si>
    <t>QRY10159</t>
  </si>
  <si>
    <t>2026-01-19 13:02:55</t>
  </si>
  <si>
    <t>2026-01-19 16:24:37</t>
  </si>
  <si>
    <t>QU3286</t>
  </si>
  <si>
    <t>KoCos - Stock Sale - Electrical Meters</t>
  </si>
  <si>
    <t>QRY10157</t>
  </si>
  <si>
    <t>2026-01-19 14:14:45</t>
  </si>
  <si>
    <t>2026-02-16 14:55:24</t>
  </si>
  <si>
    <t>QU3287</t>
  </si>
  <si>
    <t>PO74953 - 3 Factory Rd - Unit 2 - Water Meter Replacement</t>
  </si>
  <si>
    <t>JC10225</t>
  </si>
  <si>
    <t>2026-01-19 14:20:59</t>
  </si>
  <si>
    <t>2026-02-16 14:51:33</t>
  </si>
  <si>
    <t>QU3288</t>
  </si>
  <si>
    <t>PO75156 12 Middle - Warehouse 1 - Modem + Commissioning</t>
  </si>
  <si>
    <t>JC10215</t>
  </si>
  <si>
    <t>2026-01-20 09:29:03</t>
  </si>
  <si>
    <t>2026-03-10 12:27:46</t>
  </si>
  <si>
    <t>QU3289</t>
  </si>
  <si>
    <t>Circular Business Park (Pty) Ltd</t>
  </si>
  <si>
    <t>Circular Business Park</t>
  </si>
  <si>
    <t>Circular Business Park - Replacement Electrical meter</t>
  </si>
  <si>
    <t>2026-01-20 00:00:00</t>
  </si>
  <si>
    <t>2026-02-19 00:00:00</t>
  </si>
  <si>
    <t>JC10208</t>
  </si>
  <si>
    <t>2026-01-20 10:22:52</t>
  </si>
  <si>
    <t>2026-02-16 14:43:51</t>
  </si>
  <si>
    <t>QU3290</t>
  </si>
  <si>
    <t>QRY10160</t>
  </si>
  <si>
    <t>2026-01-21 10:26:33</t>
  </si>
  <si>
    <t>2026-01-21 12:27:10</t>
  </si>
  <si>
    <t>QU3291</t>
  </si>
  <si>
    <t>130 Paterson - Smart Electrical Metering - Remaining Tenant Meters</t>
  </si>
  <si>
    <t>JC10236</t>
  </si>
  <si>
    <t>2026-01-21 11:10:26</t>
  </si>
  <si>
    <t>2026-03-23 08:43:48</t>
  </si>
  <si>
    <t>QU3292</t>
  </si>
  <si>
    <t>18-20 Darling St - Smart Electrical Metering - Remaining Tenant Meters</t>
  </si>
  <si>
    <t>JC10237</t>
  </si>
  <si>
    <t>2026-01-21 11:23:08</t>
  </si>
  <si>
    <t>2026-03-23 08:28:01</t>
  </si>
  <si>
    <t>QU3293</t>
  </si>
  <si>
    <t>Moolman Group - Lephalale - Stock Sale - Smart Electrical Meters</t>
  </si>
  <si>
    <t>QRY10161</t>
  </si>
  <si>
    <t>2026-01-21 12:15:16</t>
  </si>
  <si>
    <t>2026-01-21 12:24:17</t>
  </si>
  <si>
    <t>QU3294</t>
  </si>
  <si>
    <t>PO74993 - 3 Factory - Unit 11 - Water Meter Replacement</t>
  </si>
  <si>
    <t>JC10228</t>
  </si>
  <si>
    <t>2026-01-21 13:01:50</t>
  </si>
  <si>
    <t>2026-02-16 14:51:52</t>
  </si>
  <si>
    <t>QU3295</t>
  </si>
  <si>
    <t>JC 65707 Nelspruit City Centre - Data Concentrator Set</t>
  </si>
  <si>
    <t>2026-01-22 00:00:00</t>
  </si>
  <si>
    <t>2026-02-21 00:00:00</t>
  </si>
  <si>
    <t>2026-01-22 09:57:03</t>
  </si>
  <si>
    <t>2026-03-05 09:09:41</t>
  </si>
  <si>
    <t>QU3296</t>
  </si>
  <si>
    <t>SKG Power - Stock Sale - Electrical Meter (Trust Bank Phase 3)</t>
  </si>
  <si>
    <t>QRY10162</t>
  </si>
  <si>
    <t>2026-01-22 10:36:46</t>
  </si>
  <si>
    <t>2026-02-17 08:49:04</t>
  </si>
  <si>
    <t>QU3297</t>
  </si>
  <si>
    <t>JC 65708 Nelspruit City Centre - Smart Water Metering (Comms Only)</t>
  </si>
  <si>
    <t>2026-01-22 11:09:08</t>
  </si>
  <si>
    <t>2026-02-24 10:24:47</t>
  </si>
  <si>
    <t>QU3298</t>
  </si>
  <si>
    <t>MG Electrical</t>
  </si>
  <si>
    <t>Mg Electrical - Stock Sale - Electrical Meter</t>
  </si>
  <si>
    <t>QRY10164</t>
  </si>
  <si>
    <t>2026-01-22 11:11:36</t>
  </si>
  <si>
    <t>2026-01-22 14:12:02</t>
  </si>
  <si>
    <t>QU3299</t>
  </si>
  <si>
    <t>Maitland Industrial Park - Unit E02B1 - Relianz Foods - Water Meter Replacement</t>
  </si>
  <si>
    <t>JC10183</t>
  </si>
  <si>
    <t>2026-01-22 11:13:49</t>
  </si>
  <si>
    <t>2026-01-22 14:02:57</t>
  </si>
  <si>
    <t>QU3300</t>
  </si>
  <si>
    <t>Rustic Route</t>
  </si>
  <si>
    <t>Rustic Route - Electrical Municipal Check Meter</t>
  </si>
  <si>
    <t>JC10222</t>
  </si>
  <si>
    <t>2026-01-22 11:54:51</t>
  </si>
  <si>
    <t>2026-02-17 08:49:18</t>
  </si>
  <si>
    <t>QU3301</t>
  </si>
  <si>
    <t>PO75742 Kings Mall - Basement Toilet &amp; Taps - Water meter Replacement</t>
  </si>
  <si>
    <t>2026-01-28 00:00:00</t>
  </si>
  <si>
    <t>2026-02-27 00:00:00</t>
  </si>
  <si>
    <t>JC10139</t>
  </si>
  <si>
    <t>2026-01-22 15:54:15</t>
  </si>
  <si>
    <t>2026-05-20 15:10:36</t>
  </si>
  <si>
    <t>QU3303</t>
  </si>
  <si>
    <t>SKG Field Services (Pty) Ltd</t>
  </si>
  <si>
    <t>Primary</t>
  </si>
  <si>
    <t>Beacon Bay Crossing</t>
  </si>
  <si>
    <t>TUTPO-004060 SKG Field Services - Sancardia - Stock Sale - Water Meters</t>
  </si>
  <si>
    <t>2026-01-23 00:00:00</t>
  </si>
  <si>
    <t>2026-02-22 00:00:00</t>
  </si>
  <si>
    <t>QRY10165</t>
  </si>
  <si>
    <t>2026-01-23 15:34:04</t>
  </si>
  <si>
    <t>2026-02-16 15:17:05</t>
  </si>
  <si>
    <t>QU3304</t>
  </si>
  <si>
    <t>Inospace 5 (Pty) Ltd [Thora Works]</t>
  </si>
  <si>
    <t>Thora Crescent</t>
  </si>
  <si>
    <t>28 Thora Crescent</t>
  </si>
  <si>
    <t>Thora Crescent - Smart Electrical Metering</t>
  </si>
  <si>
    <t>2026-01-26 00:00:00</t>
  </si>
  <si>
    <t>2026-02-25 00:00:00</t>
  </si>
  <si>
    <t>JC10124</t>
  </si>
  <si>
    <t>2026-01-26 08:30:40</t>
  </si>
  <si>
    <t>2026-05-20 15:04:50</t>
  </si>
  <si>
    <t>QU3305</t>
  </si>
  <si>
    <t>Centane</t>
  </si>
  <si>
    <t>Centane Shopping Centre</t>
  </si>
  <si>
    <t>Centane - Gateway Replacement</t>
  </si>
  <si>
    <t>JC10190</t>
  </si>
  <si>
    <t>2026-01-26 15:42:55</t>
  </si>
  <si>
    <t>2026-03-10 12:29:59</t>
  </si>
  <si>
    <t>QU3306</t>
  </si>
  <si>
    <t>Civil And General</t>
  </si>
  <si>
    <t>4R53+97R Amberdale, Queenstown. Komani</t>
  </si>
  <si>
    <t>Civil and general - Amberdale - Smart Electrical Metering (Revised)</t>
  </si>
  <si>
    <t>2026-01-27 00:00:00</t>
  </si>
  <si>
    <t>JC10248</t>
  </si>
  <si>
    <t>2026-01-27 09:49:30</t>
  </si>
  <si>
    <t>2026-05-27 12:27:32</t>
  </si>
  <si>
    <t>QU3307</t>
  </si>
  <si>
    <t>Trust Bank - Stock Sale - Electrical</t>
  </si>
  <si>
    <t>QRY10166</t>
  </si>
  <si>
    <t>2026-01-27 13:24:23</t>
  </si>
  <si>
    <t>2026-02-16 15:03:15</t>
  </si>
  <si>
    <t>QU3308</t>
  </si>
  <si>
    <t>Sutton Square Properties (Pty) Ltd - Twoline Trading 155</t>
  </si>
  <si>
    <t>Sutton Square</t>
  </si>
  <si>
    <t>Sutton Square - New Coffee Shop - Smart Electrical Metering</t>
  </si>
  <si>
    <t>JC10260</t>
  </si>
  <si>
    <t>2026-01-28 08:48:19</t>
  </si>
  <si>
    <t>2026-02-18 12:53:18</t>
  </si>
  <si>
    <t>QU3309</t>
  </si>
  <si>
    <t>Inospace 2 (Pty) Ltd - Silo Exchange</t>
  </si>
  <si>
    <t>Silo Exchange</t>
  </si>
  <si>
    <t>Silo Exchange - Smart Water Metering - All Tenants</t>
  </si>
  <si>
    <t>2026-02-02 00:00:00</t>
  </si>
  <si>
    <t>2026-03-02 00:00:00</t>
  </si>
  <si>
    <t>JC10258</t>
  </si>
  <si>
    <t>2026-01-28 08:51:25</t>
  </si>
  <si>
    <t>2026-02-02 12:17:00</t>
  </si>
  <si>
    <t>QU3310</t>
  </si>
  <si>
    <t>Gavin Peironi</t>
  </si>
  <si>
    <t>Durbanville Industrial Park, Unit 3, Grant street, Darwin St, Fisantekraal, Cape Town, 7560</t>
  </si>
  <si>
    <t>Durbanville Industrial Park - Smart Electrical Metering</t>
  </si>
  <si>
    <t>JC10241</t>
  </si>
  <si>
    <t>2026-01-28 08:55:23</t>
  </si>
  <si>
    <t>2026-01-28 09:57:44</t>
  </si>
  <si>
    <t>QU3311</t>
  </si>
  <si>
    <t>MCM Property Development</t>
  </si>
  <si>
    <t>Carmen Eden Retirement Village</t>
  </si>
  <si>
    <t>Carmen Eden Retirement Village - Smart Electrical Metering</t>
  </si>
  <si>
    <t>JC10224</t>
  </si>
  <si>
    <t>2026-01-28 09:02:19</t>
  </si>
  <si>
    <t>2026-02-03 13:00:49</t>
  </si>
  <si>
    <t>QU3312</t>
  </si>
  <si>
    <t>Silo Exchange - Smart Water Metering - Option 2 (Replace Shared Meters Only)</t>
  </si>
  <si>
    <t>2026-01-28 09:44:22</t>
  </si>
  <si>
    <t>2026-01-28 09:45:30</t>
  </si>
  <si>
    <t>QU3313</t>
  </si>
  <si>
    <t>Silo Exchange - Smart Water Metering - Option 3 (Keep existing 4 manual meters and install 4 new meters)</t>
  </si>
  <si>
    <t>2026-01-28 09:45:19</t>
  </si>
  <si>
    <t>2026-01-28 09:45:34</t>
  </si>
  <si>
    <t>QU3314</t>
  </si>
  <si>
    <t>Alpha Park - Smart Electrical Meters</t>
  </si>
  <si>
    <t>JC10267</t>
  </si>
  <si>
    <t>2026-01-28 11:45:04</t>
  </si>
  <si>
    <t>2026-02-18 10:40:38</t>
  </si>
  <si>
    <t>QU3315</t>
  </si>
  <si>
    <t>Herholdt's Group</t>
  </si>
  <si>
    <t>Bloemfontein Office</t>
  </si>
  <si>
    <t>3 Maroela St, Old Industrial, Bloemfontein, 9301</t>
  </si>
  <si>
    <t>Herholdt's Group - Stock Sale - Electrical Meters</t>
  </si>
  <si>
    <t>QRY10167</t>
  </si>
  <si>
    <t>2026-01-28 12:53:41</t>
  </si>
  <si>
    <t>2026-01-29 14:48:39</t>
  </si>
  <si>
    <t>QU3316</t>
  </si>
  <si>
    <t>InoFort Proprietary Limited [Epping Works]</t>
  </si>
  <si>
    <t>Epping Works</t>
  </si>
  <si>
    <t>Epping Works - Meter Commissioning</t>
  </si>
  <si>
    <t>JC10268</t>
  </si>
  <si>
    <t>2026-01-28 15:09:45</t>
  </si>
  <si>
    <t>2026-04-09 10:12:14</t>
  </si>
  <si>
    <t>QU3317</t>
  </si>
  <si>
    <t>Webbing Products</t>
  </si>
  <si>
    <t>Webbing Products - Unit 1 - Water Meter Replacement</t>
  </si>
  <si>
    <t>2026-01-29 00:00:00</t>
  </si>
  <si>
    <t>2026-02-28 00:00:00</t>
  </si>
  <si>
    <t>JC10266</t>
  </si>
  <si>
    <t>2026-01-29 11:55:49</t>
  </si>
  <si>
    <t>2026-02-16 15:09:48</t>
  </si>
  <si>
    <t>QU3318</t>
  </si>
  <si>
    <t>Mbova Construction</t>
  </si>
  <si>
    <t>CS10780</t>
  </si>
  <si>
    <t>Mbova Construction - Stock Sale - Smart Water Meters (Amended)</t>
  </si>
  <si>
    <t>QRY10168</t>
  </si>
  <si>
    <t>2026-01-29 12:29:46</t>
  </si>
  <si>
    <t>2026-03-19 09:45:46</t>
  </si>
  <si>
    <t>QU3319</t>
  </si>
  <si>
    <t>Boet Pretorius Electrical CC (BPE)</t>
  </si>
  <si>
    <t>PO Box</t>
  </si>
  <si>
    <t>PO Box 356</t>
  </si>
  <si>
    <t>BPE - Stock Sale - Electrical Meters.</t>
  </si>
  <si>
    <t>QRY10170</t>
  </si>
  <si>
    <t>2026-01-29 14:59:07</t>
  </si>
  <si>
    <t>2026-01-29 15:02:47</t>
  </si>
  <si>
    <t>QU3320</t>
  </si>
  <si>
    <t>Advannotech</t>
  </si>
  <si>
    <t>Advannotech - Stock Sale - Smart Water Meter</t>
  </si>
  <si>
    <t>2026-01-30 00:00:00</t>
  </si>
  <si>
    <t>2026-03-01 00:00:00</t>
  </si>
  <si>
    <t>QRY10171</t>
  </si>
  <si>
    <t>2026-01-30 10:42:37</t>
  </si>
  <si>
    <t>2026-02-16 14:59:09</t>
  </si>
  <si>
    <t>QU3321</t>
  </si>
  <si>
    <t>AP Green Sawmill - PV Plant: Smart Electrical Metering</t>
  </si>
  <si>
    <t>QRY10176</t>
  </si>
  <si>
    <t>2026-01-30 12:30:52</t>
  </si>
  <si>
    <t>2026-03-10 12:29:28</t>
  </si>
  <si>
    <t>QU3322</t>
  </si>
  <si>
    <t>AP Green Sawmill - PV Plant: Smart Electrical Metering - CTs Only - Corrected</t>
  </si>
  <si>
    <t>2026-01-30 12:42:10</t>
  </si>
  <si>
    <t>2026-03-10 12:29:25</t>
  </si>
  <si>
    <t>QU3323</t>
  </si>
  <si>
    <t>Spilo - CT Correction - Unit 9A + Unit 15</t>
  </si>
  <si>
    <t>2026-02-03 00:00:00</t>
  </si>
  <si>
    <t>2026-03-05 00:00:00</t>
  </si>
  <si>
    <t>JC10286</t>
  </si>
  <si>
    <t>2026-02-03 09:55:23</t>
  </si>
  <si>
    <t>2026-02-03 12:54:52</t>
  </si>
  <si>
    <t>QU3325</t>
  </si>
  <si>
    <t>Dolphin's Leap - Unit 9 - Canna Kingdom - Water Meter Replacement</t>
  </si>
  <si>
    <t>JC10272</t>
  </si>
  <si>
    <t>2026-02-03 12:28:11</t>
  </si>
  <si>
    <t>2026-02-16 14:57:31</t>
  </si>
  <si>
    <t>QU3326</t>
  </si>
  <si>
    <t>Carmen Eden Retirement Village - Smart Water Metering</t>
  </si>
  <si>
    <t>JC10249</t>
  </si>
  <si>
    <t>2026-02-03 12:37:56</t>
  </si>
  <si>
    <t>2026-02-03 13:00:48</t>
  </si>
  <si>
    <t>QU3327</t>
  </si>
  <si>
    <t>Inofort Proprietary Limited [Coventry Works]</t>
  </si>
  <si>
    <t>Coventry Works</t>
  </si>
  <si>
    <t>2026-02-04 00:00:00</t>
  </si>
  <si>
    <t>2026-03-06 00:00:00</t>
  </si>
  <si>
    <t>JC10287</t>
  </si>
  <si>
    <t>2026-02-04 16:12:13</t>
  </si>
  <si>
    <t>2026-02-04 16:12:28</t>
  </si>
  <si>
    <t>QU3328</t>
  </si>
  <si>
    <t>InoFort (Pty) Ltd [Textile Exchange]</t>
  </si>
  <si>
    <t>Textile Exchange</t>
  </si>
  <si>
    <t>Textile Exchange - Water Meter Retrofit</t>
  </si>
  <si>
    <t>2026-03-07 00:00:00</t>
  </si>
  <si>
    <t>JC10291</t>
  </si>
  <si>
    <t>2026-02-05 08:28:47</t>
  </si>
  <si>
    <t>2026-02-06 10:31:13</t>
  </si>
  <si>
    <t>QU3329</t>
  </si>
  <si>
    <t>Swartland Investments (Pty) Ltd</t>
  </si>
  <si>
    <t>CS10262</t>
  </si>
  <si>
    <t>Atlantis</t>
  </si>
  <si>
    <t>WCDC, Kenzo 1, XPS Plant - Monthly Monitoring 2026</t>
  </si>
  <si>
    <t>2026-02-05 11:32:00</t>
  </si>
  <si>
    <t>2026-02-05 11:33:45</t>
  </si>
  <si>
    <t>QU3331</t>
  </si>
  <si>
    <t>Inospace 5 Proprietary Limited [Tungsten Works]</t>
  </si>
  <si>
    <t>51 Wales Street</t>
  </si>
  <si>
    <t>Tungsten Works - Water Meter Retrofit</t>
  </si>
  <si>
    <t>JC10261</t>
  </si>
  <si>
    <t>2026-02-05 16:12:53</t>
  </si>
  <si>
    <t>2026-02-06 10:32:32</t>
  </si>
  <si>
    <t>QU3332</t>
  </si>
  <si>
    <t>Jagger Works - Additional Electrical Metering (Amended)</t>
  </si>
  <si>
    <t>2026-02-16 00:00:00</t>
  </si>
  <si>
    <t>2026-03-15 00:00:00</t>
  </si>
  <si>
    <t>JC10296</t>
  </si>
  <si>
    <t>2026-02-06 08:41:53</t>
  </si>
  <si>
    <t>2026-02-16 14:41:52</t>
  </si>
  <si>
    <t>QU3333</t>
  </si>
  <si>
    <t>Wesbosch Properties (Pty) Ltd</t>
  </si>
  <si>
    <t>Cure Day Hospitals Gqeberha (PE)</t>
  </si>
  <si>
    <t>Cure Day Hospital (New Building) - Smart Water Metering</t>
  </si>
  <si>
    <t>JC10294</t>
  </si>
  <si>
    <t>2026-02-06 11:47:10</t>
  </si>
  <si>
    <t>2026-03-25 14:51:42</t>
  </si>
  <si>
    <t>QU3334</t>
  </si>
  <si>
    <t>Unick Foods</t>
  </si>
  <si>
    <t>Thermelec - Electrical Meters (Supply and Commission Only)</t>
  </si>
  <si>
    <t>2026-03-08 00:00:00</t>
  </si>
  <si>
    <t>JC10299</t>
  </si>
  <si>
    <t>2026-02-06 12:03:08</t>
  </si>
  <si>
    <t>2026-02-06 14:07:45</t>
  </si>
  <si>
    <t>QU3335</t>
  </si>
  <si>
    <t>InoFort Proprietary Limited [Island Works Ext]</t>
  </si>
  <si>
    <t>Island Works Ext</t>
  </si>
  <si>
    <t>Island Works, 22 Cumberland Rd, Paarden Eiland, Cape Town, (Simphiwe Pehlo)</t>
  </si>
  <si>
    <t>Island Works Extension - Smart Electrical Metering</t>
  </si>
  <si>
    <t>2026-02-09 00:00:00</t>
  </si>
  <si>
    <t>2026-03-11 00:00:00</t>
  </si>
  <si>
    <t>JC10273</t>
  </si>
  <si>
    <t>2026-02-09 12:06:35</t>
  </si>
  <si>
    <t>2026-02-09 12:50:45</t>
  </si>
  <si>
    <t>QU3338</t>
  </si>
  <si>
    <t>Clublink (Pty) Ltd</t>
  </si>
  <si>
    <t>PGM (Peppergrove Mall)</t>
  </si>
  <si>
    <t>OB 3/34 Beer Properties - Shop 54, Development under Spur, PGM - Metering</t>
  </si>
  <si>
    <t>JC10301</t>
  </si>
  <si>
    <t>2026-02-09 12:31:37</t>
  </si>
  <si>
    <t>2026-03-10 12:26:25</t>
  </si>
  <si>
    <t>QU3339</t>
  </si>
  <si>
    <t>OB 3/33 Beer Properties - Shop 55, Development under Spur, PGM- Smart Metering</t>
  </si>
  <si>
    <t>2026-02-09 12:32:17</t>
  </si>
  <si>
    <t>2026-03-10 12:26:29</t>
  </si>
  <si>
    <t>QU3340</t>
  </si>
  <si>
    <t>Menlo Construction</t>
  </si>
  <si>
    <t>Blue Waters Estate</t>
  </si>
  <si>
    <t>Blue Water Estate - Smart Electrical and Water Metering</t>
  </si>
  <si>
    <t>JC10304</t>
  </si>
  <si>
    <t>2026-02-09 12:41:51</t>
  </si>
  <si>
    <t>2026-03-25 15:49:26</t>
  </si>
  <si>
    <t>QU3341</t>
  </si>
  <si>
    <t>SKEPO-17447 P.E - 4th Ave PNP - Container Coffee Shop - Stock Sale - Electrical</t>
  </si>
  <si>
    <t>QRY10172</t>
  </si>
  <si>
    <t>2026-02-09 15:56:12</t>
  </si>
  <si>
    <t>2026-02-16 14:45:15</t>
  </si>
  <si>
    <t>QU3342</t>
  </si>
  <si>
    <t>Value Logistics (Pty) Ltd</t>
  </si>
  <si>
    <t>Value Express</t>
  </si>
  <si>
    <t>Value Express (87 Maple Rd) - Smart Electrical Metering (Supply + Onboard)</t>
  </si>
  <si>
    <t>JC10313</t>
  </si>
  <si>
    <t>2026-02-10 09:32:43</t>
  </si>
  <si>
    <t>2026-03-31 09:48:37</t>
  </si>
  <si>
    <t>QU3343</t>
  </si>
  <si>
    <t>13 Top - Virtual Generator Meter Monthly Fee</t>
  </si>
  <si>
    <t>2026-02-10 10:35:32</t>
  </si>
  <si>
    <t>2026-02-10 10:35:55</t>
  </si>
  <si>
    <t>QU3344</t>
  </si>
  <si>
    <t>Beacon Edge View (Pty) Ltd</t>
  </si>
  <si>
    <t>Clevedon House</t>
  </si>
  <si>
    <t>JC65448 Clevedon House - Smart Electrical and Water Metering</t>
  </si>
  <si>
    <t>JC10300</t>
  </si>
  <si>
    <t>2026-02-10 16:00:55</t>
  </si>
  <si>
    <t>2026-05-19 09:57:40</t>
  </si>
  <si>
    <t>QU3345</t>
  </si>
  <si>
    <t>Gonubie Centre - Flat 26 - Water Meter Replacement</t>
  </si>
  <si>
    <t>2026-03-13 00:00:00</t>
  </si>
  <si>
    <t>JC10318</t>
  </si>
  <si>
    <t>2026-02-11 08:29:33</t>
  </si>
  <si>
    <t>2026-02-16 14:44:34</t>
  </si>
  <si>
    <t>QU3346</t>
  </si>
  <si>
    <t>Blue Water Estate - Smart Electrical and Water Metering (Amended)</t>
  </si>
  <si>
    <t>2026-02-11 11:59:02</t>
  </si>
  <si>
    <t>2026-03-25 15:49:22</t>
  </si>
  <si>
    <t>QU3348</t>
  </si>
  <si>
    <t>DN50 - Stock Sale</t>
  </si>
  <si>
    <t>QRY10173</t>
  </si>
  <si>
    <t>2026-02-11 12:46:50</t>
  </si>
  <si>
    <t>2026-02-11 14:24:01</t>
  </si>
  <si>
    <t>QU3349</t>
  </si>
  <si>
    <t>Prosperito Residential Fund (Pty) Ltd t/a The Grand Res</t>
  </si>
  <si>
    <t>Grand Res</t>
  </si>
  <si>
    <t>The Grand Res - Additional Electrical Metering</t>
  </si>
  <si>
    <t>2026-03-14 00:00:00</t>
  </si>
  <si>
    <t>JC10322</t>
  </si>
  <si>
    <t>2026-02-12 10:34:48</t>
  </si>
  <si>
    <t>2026-02-12 12:46:20</t>
  </si>
  <si>
    <t>QU3350</t>
  </si>
  <si>
    <t>Thermelec - Electrical Meters (Supply and Commission Only) - Metcoms</t>
  </si>
  <si>
    <t>2026-02-12 15:17:28</t>
  </si>
  <si>
    <t>2026-02-16 12:38:16</t>
  </si>
  <si>
    <t>QU3351</t>
  </si>
  <si>
    <t>24 Kennington Rd Unit 4 - Water Meter Replacement</t>
  </si>
  <si>
    <t>2026-02-13 00:00:00</t>
  </si>
  <si>
    <t>JC10279</t>
  </si>
  <si>
    <t>2026-02-13 10:59:28</t>
  </si>
  <si>
    <t>2026-02-16 14:43:03</t>
  </si>
  <si>
    <t>QU3352</t>
  </si>
  <si>
    <t>DN20 - Stock Sale</t>
  </si>
  <si>
    <t>2026-03-18 00:00:00</t>
  </si>
  <si>
    <t>2026-02-16 08:24:39</t>
  </si>
  <si>
    <t>2026-02-16 08:25:30</t>
  </si>
  <si>
    <t>QU3353</t>
  </si>
  <si>
    <t>Thermelec - Smart Water Meters (Supply and Commission only)</t>
  </si>
  <si>
    <t>JC10336</t>
  </si>
  <si>
    <t>2026-02-16 09:35:15</t>
  </si>
  <si>
    <t>2026-02-16 12:34:38</t>
  </si>
  <si>
    <t>QU3354</t>
  </si>
  <si>
    <t>Plumblink</t>
  </si>
  <si>
    <t>Cnr Wollow Rd &amp; Mimosa Rd</t>
  </si>
  <si>
    <t>Plumblink - Stock Sale - DN20s</t>
  </si>
  <si>
    <t>QRY10178</t>
  </si>
  <si>
    <t>2026-02-16 16:02:17</t>
  </si>
  <si>
    <t>2026-02-17 12:43:39</t>
  </si>
  <si>
    <t>QU3355</t>
  </si>
  <si>
    <t>Jagger Works - Additional Electrical Metering (CTs Included)</t>
  </si>
  <si>
    <t>2026-02-17 00:00:00</t>
  </si>
  <si>
    <t>2026-03-19 00:00:00</t>
  </si>
  <si>
    <t>2026-02-17 11:44:10</t>
  </si>
  <si>
    <t>2026-05-07 08:26:49</t>
  </si>
  <si>
    <t>QU3356</t>
  </si>
  <si>
    <t>PO75290 10 Top Rd - Gateway Replacement</t>
  </si>
  <si>
    <t>JC10293</t>
  </si>
  <si>
    <t>2026-02-17 11:56:42</t>
  </si>
  <si>
    <t>2026-05-12 10:57:08</t>
  </si>
  <si>
    <t>QU3357</t>
  </si>
  <si>
    <t>Webbing Products/Paterson RD - Water Meter Replacements</t>
  </si>
  <si>
    <t>JC10331</t>
  </si>
  <si>
    <t>2026-02-17 12:03:08</t>
  </si>
  <si>
    <t>2026-04-15 16:02:51</t>
  </si>
  <si>
    <t>QU3359</t>
  </si>
  <si>
    <t>Flat 27 - Gonubie Centre - Water Meter Replacement</t>
  </si>
  <si>
    <t>JC10327</t>
  </si>
  <si>
    <t>2026-02-17 12:10:40</t>
  </si>
  <si>
    <t>2026-02-18 12:21:11</t>
  </si>
  <si>
    <t>QU3360</t>
  </si>
  <si>
    <t>JC 65702 Nelspruit City Centre - Smart Electrical Metering (Hardware Only)</t>
  </si>
  <si>
    <t>2026-02-23 00:00:00</t>
  </si>
  <si>
    <t>2026-02-17 12:54:42</t>
  </si>
  <si>
    <t>2026-03-10 12:31:25</t>
  </si>
  <si>
    <t>QU3361</t>
  </si>
  <si>
    <t>Delivery</t>
  </si>
  <si>
    <t>2 Anderson Road</t>
  </si>
  <si>
    <t>QRY10179</t>
  </si>
  <si>
    <t>2026-02-17 14:22:15</t>
  </si>
  <si>
    <t>2026-03-10 12:35:33</t>
  </si>
  <si>
    <t>QU3362</t>
  </si>
  <si>
    <t>TA0044595 BKB - Ct Upgrade (Stock Only)</t>
  </si>
  <si>
    <t>2026-03-20 00:00:00</t>
  </si>
  <si>
    <t>JC10346</t>
  </si>
  <si>
    <t>2026-02-18 12:04:02</t>
  </si>
  <si>
    <t>2026-02-23 15:24:48</t>
  </si>
  <si>
    <t>QU3363</t>
  </si>
  <si>
    <t>Vincent Vromans</t>
  </si>
  <si>
    <t>Vencent Vromans - Smart Electrical Metering - Price List</t>
  </si>
  <si>
    <t>2026-03-21 00:00:00</t>
  </si>
  <si>
    <t>JC10366</t>
  </si>
  <si>
    <t>2026-02-19 13:00:53</t>
  </si>
  <si>
    <t>2026-02-25 09:33:56</t>
  </si>
  <si>
    <t>QU3364</t>
  </si>
  <si>
    <t>14 Donald</t>
  </si>
  <si>
    <t>14 Donald Rd</t>
  </si>
  <si>
    <t>PO75369 14 Donald - Site Audit</t>
  </si>
  <si>
    <t>JC10350</t>
  </si>
  <si>
    <t>2026-02-19 13:55:17</t>
  </si>
  <si>
    <t>2026-03-10 12:26:45</t>
  </si>
  <si>
    <t>QU3365</t>
  </si>
  <si>
    <t>Flat 14 - Gonubie Centre - Water Meter Replacement</t>
  </si>
  <si>
    <t>2026-03-25 00:00:00</t>
  </si>
  <si>
    <t>JC10335</t>
  </si>
  <si>
    <t>2026-02-19 14:02:09</t>
  </si>
  <si>
    <t>2026-03-10 12:28:30</t>
  </si>
  <si>
    <t>QU3366</t>
  </si>
  <si>
    <t>Bungalow Mall - Pit Antenna</t>
  </si>
  <si>
    <t>JC10198</t>
  </si>
  <si>
    <t>2026-02-19 14:05:22</t>
  </si>
  <si>
    <t>2026-02-20 13:17:24</t>
  </si>
  <si>
    <t>QU3367</t>
  </si>
  <si>
    <t>Nu-Sa Prop (Pty) Ltd</t>
  </si>
  <si>
    <t>Sharon Fynn</t>
  </si>
  <si>
    <t>Transbrikpark</t>
  </si>
  <si>
    <t>Transbrikpark - Gateway Replacement</t>
  </si>
  <si>
    <t>2026-03-22 00:00:00</t>
  </si>
  <si>
    <t>JC10162</t>
  </si>
  <si>
    <t>2026-02-19 14:22:22</t>
  </si>
  <si>
    <t>2026-04-22 12:22:01</t>
  </si>
  <si>
    <t>QU3368</t>
  </si>
  <si>
    <t>Maitland Industrial Park - Faulty Water Meters (Updated Quote)</t>
  </si>
  <si>
    <t>2026-02-20 10:47:05</t>
  </si>
  <si>
    <t>2026-04-14 16:29:54</t>
  </si>
  <si>
    <t>QU3369</t>
  </si>
  <si>
    <t>The Block</t>
  </si>
  <si>
    <t>The Block - Smart Electrical Metering</t>
  </si>
  <si>
    <t>2026-03-23 00:00:00</t>
  </si>
  <si>
    <t>JC10353</t>
  </si>
  <si>
    <t>2026-02-20 12:27:59</t>
  </si>
  <si>
    <t>2026-02-23 15:59:57</t>
  </si>
  <si>
    <t>QU3370</t>
  </si>
  <si>
    <t>PO75388 WH2 - Meter Commissioning</t>
  </si>
  <si>
    <t>JC10364</t>
  </si>
  <si>
    <t>2026-02-20 15:44:06</t>
  </si>
  <si>
    <t>2026-03-10 12:27:32</t>
  </si>
  <si>
    <t>QU3371</t>
  </si>
  <si>
    <t>High Street</t>
  </si>
  <si>
    <t>High Street - Modem Replacements</t>
  </si>
  <si>
    <t>JC10348</t>
  </si>
  <si>
    <t>2026-02-23 14:48:46</t>
  </si>
  <si>
    <t>2026-02-24 10:56:32</t>
  </si>
  <si>
    <t>QU3372</t>
  </si>
  <si>
    <t>Spar Oak Cottage</t>
  </si>
  <si>
    <t>OB 4/44 Spar Oak Cottage - BP Garage - Modem Replaceme</t>
  </si>
  <si>
    <t>2026-03-03 00:00:00</t>
  </si>
  <si>
    <t>2026-04-02 00:00:00</t>
  </si>
  <si>
    <t>JC10363</t>
  </si>
  <si>
    <t>2026-02-23 15:05:20</t>
  </si>
  <si>
    <t>2026-05-27 11:50:58</t>
  </si>
  <si>
    <t>QU3373</t>
  </si>
  <si>
    <t>Unit F03 - Water Meter Replacement</t>
  </si>
  <si>
    <t>2026-02-23 15:44:46</t>
  </si>
  <si>
    <t>2026-02-23 15:50:18</t>
  </si>
  <si>
    <t>QU3374</t>
  </si>
  <si>
    <t>Greenfields Village - Centre Ablutions - Water Meter Replacement</t>
  </si>
  <si>
    <t>JC10365</t>
  </si>
  <si>
    <t>2026-02-24 10:38:26</t>
  </si>
  <si>
    <t>2026-03-10 12:28:41</t>
  </si>
  <si>
    <t>QU3375</t>
  </si>
  <si>
    <t>Lanzerac Works</t>
  </si>
  <si>
    <t>Lanzerac Works - Water Meter Commissioning</t>
  </si>
  <si>
    <t>JC10375</t>
  </si>
  <si>
    <t>2026-02-24 13:19:05</t>
  </si>
  <si>
    <t>2026-02-25 12:32:18</t>
  </si>
  <si>
    <t>QU3376</t>
  </si>
  <si>
    <t>10 St Helena</t>
  </si>
  <si>
    <t>10 St Helena - Water Meter Replacements</t>
  </si>
  <si>
    <t>2026-03-27 00:00:00</t>
  </si>
  <si>
    <t>2026-02-25 09:11:30</t>
  </si>
  <si>
    <t>2026-02-25 09:12:48</t>
  </si>
  <si>
    <t>QU3377</t>
  </si>
  <si>
    <t>10 Top Rd - Water Meter Replacements</t>
  </si>
  <si>
    <t>2026-02-25 09:20:14</t>
  </si>
  <si>
    <t>QU3378</t>
  </si>
  <si>
    <t>InoFort Proprietary Limited [Electron Exchange]</t>
  </si>
  <si>
    <t>CS10129</t>
  </si>
  <si>
    <t>Electron Exchange</t>
  </si>
  <si>
    <t>Electron Exchange, 50 Electron Avenue, Isando, Johannesburg, 1600 (Sharon)</t>
  </si>
  <si>
    <t>Electron Exchange - Water Meter Commissioning</t>
  </si>
  <si>
    <t>JC10376</t>
  </si>
  <si>
    <t>2026-02-25 10:29:16</t>
  </si>
  <si>
    <t>2026-02-25 12:32:14</t>
  </si>
  <si>
    <t>QU3379</t>
  </si>
  <si>
    <t>Coventry Works - Water Meter Commissioning</t>
  </si>
  <si>
    <t>JC10374</t>
  </si>
  <si>
    <t>2026-02-25 10:47:04</t>
  </si>
  <si>
    <t>2026-02-25 12:32:21</t>
  </si>
  <si>
    <t>QU3381</t>
  </si>
  <si>
    <t>Receiving Basin and Canteen - Water Meter Replacements</t>
  </si>
  <si>
    <t>JC10388</t>
  </si>
  <si>
    <t>2026-02-26 09:32:51</t>
  </si>
  <si>
    <t>2026-03-12 15:14:34</t>
  </si>
  <si>
    <t>QU3382</t>
  </si>
  <si>
    <t>PO75569 Unit 06 32 Dyer - Water Meter Replacement</t>
  </si>
  <si>
    <t>JC10360</t>
  </si>
  <si>
    <t>2026-02-26 09:42:32</t>
  </si>
  <si>
    <t>2026-03-10 12:27:01</t>
  </si>
  <si>
    <t>QU3383</t>
  </si>
  <si>
    <t>Benbow + The Block: Municipal Checks (Water)</t>
  </si>
  <si>
    <t>2026-03-28 00:00:00</t>
  </si>
  <si>
    <t>JC10379</t>
  </si>
  <si>
    <t>2026-02-26 11:41:08</t>
  </si>
  <si>
    <t>2026-02-26 15:59:15</t>
  </si>
  <si>
    <t>QU3385</t>
  </si>
  <si>
    <t>Inospace 5 (Pty) Ltd [Tyger Works]</t>
  </si>
  <si>
    <t>Tyger Works</t>
  </si>
  <si>
    <t>Tyger Works: Municipal Checks (Water)</t>
  </si>
  <si>
    <t>JC10386</t>
  </si>
  <si>
    <t>2026-02-26 12:24:45</t>
  </si>
  <si>
    <t>2026-02-26 16:00:13</t>
  </si>
  <si>
    <t>QU3386</t>
  </si>
  <si>
    <t>Inofort (Pty) Ltd</t>
  </si>
  <si>
    <t>Inofort - Municipal Checks (Water) [Multiple Sites}</t>
  </si>
  <si>
    <t>JC10385</t>
  </si>
  <si>
    <t>2026-02-26 12:34:41</t>
  </si>
  <si>
    <t>2026-04-17 15:57:19</t>
  </si>
  <si>
    <t>QU3387</t>
  </si>
  <si>
    <t>Inospace 5 (Pty) Ltd - Creation Park (Works)</t>
  </si>
  <si>
    <t>51 Wale St</t>
  </si>
  <si>
    <t>Creation Works - Municipal Checks (Water)</t>
  </si>
  <si>
    <t>JC10383</t>
  </si>
  <si>
    <t>2026-02-26 12:42:12</t>
  </si>
  <si>
    <t>2026-02-26 15:55:33</t>
  </si>
  <si>
    <t>QU3388</t>
  </si>
  <si>
    <t>Silo Exchange- Municipal Checks (Water)</t>
  </si>
  <si>
    <t>JC10380</t>
  </si>
  <si>
    <t>2026-02-26 12:44:24</t>
  </si>
  <si>
    <t>2026-04-17 16:00:42</t>
  </si>
  <si>
    <t>QU3389</t>
  </si>
  <si>
    <t>Inospace 4 (Pty) Ltd [Ship Works]</t>
  </si>
  <si>
    <t>Ship Works</t>
  </si>
  <si>
    <t>Ship Works - Municipal Checks (Water)</t>
  </si>
  <si>
    <t>JC10382</t>
  </si>
  <si>
    <t>2026-02-26 12:47:14</t>
  </si>
  <si>
    <t>2026-02-26 15:56:10</t>
  </si>
  <si>
    <t>QU3390</t>
  </si>
  <si>
    <t>Jagger Works - Municipal Checks (Water)</t>
  </si>
  <si>
    <t>JC10381</t>
  </si>
  <si>
    <t>2026-02-26 12:48:54</t>
  </si>
  <si>
    <t>2026-02-26 15:58:09</t>
  </si>
  <si>
    <t>QU3391</t>
  </si>
  <si>
    <t>Inofort (Pty) Ltd - [Maitland Business Exchange - 8th Ave]</t>
  </si>
  <si>
    <t>Maitland Business Exchange 8th Ave</t>
  </si>
  <si>
    <t>Maitland Business Exchange - Water Meter Retrofit</t>
  </si>
  <si>
    <t>JC10292</t>
  </si>
  <si>
    <t>2026-02-26 12:51:51</t>
  </si>
  <si>
    <t>2026-03-03 14:12:16</t>
  </si>
  <si>
    <t>QU3392</t>
  </si>
  <si>
    <t>DCPF18 - Municipal Checks (Water)</t>
  </si>
  <si>
    <t>JC10378</t>
  </si>
  <si>
    <t>2026-02-26 15:53:20</t>
  </si>
  <si>
    <t>2026-04-17 15:58:04</t>
  </si>
  <si>
    <t>QU3393</t>
  </si>
  <si>
    <t>MLK SUPERMARKET (PTY) LTD T/A WATERFRONT SUPERSPAR</t>
  </si>
  <si>
    <t>Humewood Rd, Shop 9, Humerail, Gqeberha</t>
  </si>
  <si>
    <t>Waterfront Superspar - Modem Replacement</t>
  </si>
  <si>
    <t>2026-04-01 00:00:00</t>
  </si>
  <si>
    <t>JC10340</t>
  </si>
  <si>
    <t>2026-03-02 10:38:07</t>
  </si>
  <si>
    <t>2026-03-03 09:55:34</t>
  </si>
  <si>
    <t>QU3394</t>
  </si>
  <si>
    <t>Textile Exchange - Pit Antenna</t>
  </si>
  <si>
    <t>JC10226</t>
  </si>
  <si>
    <t>2026-03-02 10:41:00</t>
  </si>
  <si>
    <t>2026-03-03 13:53:54</t>
  </si>
  <si>
    <t>QU3395</t>
  </si>
  <si>
    <t>Section 34 - Toyota - Water Meter Replacement</t>
  </si>
  <si>
    <t>JC10394</t>
  </si>
  <si>
    <t>2026-03-02 10:44:43</t>
  </si>
  <si>
    <t>2026-03-02 10:44:54</t>
  </si>
  <si>
    <t>QU3396</t>
  </si>
  <si>
    <t>CWM03 - Water Meter Replacement</t>
  </si>
  <si>
    <t>JC10398</t>
  </si>
  <si>
    <t>2026-03-02 11:53:58</t>
  </si>
  <si>
    <t>2026-03-03 13:44:52</t>
  </si>
  <si>
    <t>QU3397</t>
  </si>
  <si>
    <t>PO75515 Unit 2F1 - Water Meter Replacement</t>
  </si>
  <si>
    <t>JC10399</t>
  </si>
  <si>
    <t>2026-03-02 11:55:41</t>
  </si>
  <si>
    <t>2026-03-03 16:16:11</t>
  </si>
  <si>
    <t>QU3399</t>
  </si>
  <si>
    <t>Hazel Close Office Park</t>
  </si>
  <si>
    <t>QRY10185</t>
  </si>
  <si>
    <t>2026-03-02 12:03:45</t>
  </si>
  <si>
    <t>2026-03-03 13:51:32</t>
  </si>
  <si>
    <t>QU3400</t>
  </si>
  <si>
    <t>QDP Lighting &amp; Electrical Design (Pty) Ltd</t>
  </si>
  <si>
    <t>Fibonacci</t>
  </si>
  <si>
    <t>Fibonacci - Smart Electrical Meters</t>
  </si>
  <si>
    <t>JC10417</t>
  </si>
  <si>
    <t>2026-03-02 14:15:39</t>
  </si>
  <si>
    <t>2026-03-03 11:04:20</t>
  </si>
  <si>
    <t>QU3401</t>
  </si>
  <si>
    <t>QRY10188</t>
  </si>
  <si>
    <t>2026-03-02 14:28:06</t>
  </si>
  <si>
    <t>2026-03-10 12:27:18</t>
  </si>
  <si>
    <t>QU3402</t>
  </si>
  <si>
    <t>Fibonacci - Communication Equipment (+ Set Up)</t>
  </si>
  <si>
    <t>2026-03-02 15:59:35</t>
  </si>
  <si>
    <t>2026-03-03 11:04:27</t>
  </si>
  <si>
    <t>QU3403</t>
  </si>
  <si>
    <t>Fibonacci - Smart Water Meters</t>
  </si>
  <si>
    <t>JC10419</t>
  </si>
  <si>
    <t>2026-03-02 16:01:18</t>
  </si>
  <si>
    <t>2026-03-09 08:46:50</t>
  </si>
  <si>
    <t>QU3404</t>
  </si>
  <si>
    <t>TA0045229 BKB - Water Meter Replacement - Sprinklers</t>
  </si>
  <si>
    <t>JC10061</t>
  </si>
  <si>
    <t>2026-03-03 09:03:07</t>
  </si>
  <si>
    <t>2026-03-18 08:48:27</t>
  </si>
  <si>
    <t>QU3405</t>
  </si>
  <si>
    <t>Crane QS Port Elizabeth (Pty) Ltd t/a Pick n Pay Linton Grange</t>
  </si>
  <si>
    <t>PnP Linton Grange - Modem Replacement</t>
  </si>
  <si>
    <t>JC10418</t>
  </si>
  <si>
    <t>2026-03-03 09:12:49</t>
  </si>
  <si>
    <t>2026-03-03 09:12:57</t>
  </si>
  <si>
    <t>QU3406</t>
  </si>
  <si>
    <t>Newton Park Spar - Modem Replacement</t>
  </si>
  <si>
    <t>JC10361</t>
  </si>
  <si>
    <t>2026-03-03 09:15:14</t>
  </si>
  <si>
    <t>2026-03-17 11:34:50</t>
  </si>
  <si>
    <t>QU3407</t>
  </si>
  <si>
    <t>2026-03-03 09:23:57</t>
  </si>
  <si>
    <t>2026-03-03 13:51:25</t>
  </si>
  <si>
    <t>QU3408</t>
  </si>
  <si>
    <t>OB 4/47 Shop 04 - Universal Cellular - Electrical Meter Replacement</t>
  </si>
  <si>
    <t>JC10243</t>
  </si>
  <si>
    <t>2026-03-03 11:54:42</t>
  </si>
  <si>
    <t>2026-05-27 11:43:28</t>
  </si>
  <si>
    <t>QU3409</t>
  </si>
  <si>
    <t>Kings Mall - Shop 40 - Water Meter Replacement</t>
  </si>
  <si>
    <t>JC10400</t>
  </si>
  <si>
    <t>2026-03-03 11:58:19</t>
  </si>
  <si>
    <t>2026-04-29 15:37:44</t>
  </si>
  <si>
    <t>QU3410</t>
  </si>
  <si>
    <t>PO74472 Fish Hoek Shop 11 - Water Meter Replacement</t>
  </si>
  <si>
    <t>JC10147</t>
  </si>
  <si>
    <t>2026-03-04 11:15:01</t>
  </si>
  <si>
    <t>2026-03-10 12:28:17</t>
  </si>
  <si>
    <t>QU3411</t>
  </si>
  <si>
    <t>Delivery address for new meter purchased</t>
  </si>
  <si>
    <t>11 Mill Road</t>
  </si>
  <si>
    <t>Genergy - Electrical Meter (Stock and Onboarding Only)</t>
  </si>
  <si>
    <t>JC10430</t>
  </si>
  <si>
    <t>2026-03-04 11:19:38</t>
  </si>
  <si>
    <t>2026-03-05 15:05:01</t>
  </si>
  <si>
    <t>QU3412</t>
  </si>
  <si>
    <t>Maclear Spar (Wicks Group) - PV Meter JC10439</t>
  </si>
  <si>
    <t>JC10431</t>
  </si>
  <si>
    <t>2026-03-04 11:28:22</t>
  </si>
  <si>
    <t>2026-03-06 15:13:35</t>
  </si>
  <si>
    <t>QU3413</t>
  </si>
  <si>
    <t>PO-A0621 Genergy - CT Meter (Supply and Onboard only)</t>
  </si>
  <si>
    <t>JC10438</t>
  </si>
  <si>
    <t>2026-03-04 14:17:44</t>
  </si>
  <si>
    <t>2026-05-27 14:55:57</t>
  </si>
  <si>
    <t>QU3414</t>
  </si>
  <si>
    <t>Sustainable Power Solutions</t>
  </si>
  <si>
    <t>The Woodmill</t>
  </si>
  <si>
    <t>SPS - Stock Sale - Electrical Meters</t>
  </si>
  <si>
    <t>QRY10186</t>
  </si>
  <si>
    <t>2026-03-04 15:45:39</t>
  </si>
  <si>
    <t>2026-03-05 12:04:03</t>
  </si>
  <si>
    <t>QU3415</t>
  </si>
  <si>
    <t>24 Kennington Rd Flat 2 - Water Meter Replacement</t>
  </si>
  <si>
    <t>JC10435</t>
  </si>
  <si>
    <t>2026-03-04 16:19:45</t>
  </si>
  <si>
    <t>2026-03-05 11:24:25</t>
  </si>
  <si>
    <t>QU3416</t>
  </si>
  <si>
    <t>Eggmark (Pty) Ltd</t>
  </si>
  <si>
    <t>7MPC+M6H Macleantown</t>
  </si>
  <si>
    <t>Killarney Eggs - Municipal Check Meter</t>
  </si>
  <si>
    <t>2026-04-04 00:00:00</t>
  </si>
  <si>
    <t>JC10446</t>
  </si>
  <si>
    <t>2026-03-05 11:53:39</t>
  </si>
  <si>
    <t>2026-05-20 15:56:36</t>
  </si>
  <si>
    <t>QU3417</t>
  </si>
  <si>
    <t>Engen Markman - Water Meter Replacement</t>
  </si>
  <si>
    <t>JC10448</t>
  </si>
  <si>
    <t>2026-03-05 12:59:28</t>
  </si>
  <si>
    <t>2026-03-10 12:25:21</t>
  </si>
  <si>
    <t>QU3418</t>
  </si>
  <si>
    <t>SKEPO-017569 Stock Sale - Smart Electrical Meters</t>
  </si>
  <si>
    <t>QRY10189</t>
  </si>
  <si>
    <t>2026-03-05 14:12:27</t>
  </si>
  <si>
    <t>2026-03-11 11:04:49</t>
  </si>
  <si>
    <t>QU3419</t>
  </si>
  <si>
    <t>Maclear Spar - Full Load Meter (Commissioning only)</t>
  </si>
  <si>
    <t>2026-04-05 00:00:00</t>
  </si>
  <si>
    <t>QRY10190</t>
  </si>
  <si>
    <t>2026-03-06 10:56:25</t>
  </si>
  <si>
    <t>2026-03-06 10:56:30</t>
  </si>
  <si>
    <t>QU3420</t>
  </si>
  <si>
    <t>CAPENSIS INV 283 PTY Ltd - Maclear Spar</t>
  </si>
  <si>
    <t>Maclear Spar</t>
  </si>
  <si>
    <t>Maclear Spar - Full Load Meter</t>
  </si>
  <si>
    <t>JC10439</t>
  </si>
  <si>
    <t>2026-03-06 11:12:24</t>
  </si>
  <si>
    <t>2026-05-25 09:48:56</t>
  </si>
  <si>
    <t>QU3422</t>
  </si>
  <si>
    <t>Sol Renovators</t>
  </si>
  <si>
    <t>19 Hewett Avenue</t>
  </si>
  <si>
    <t>Sol Renovators (Epping Works) - Electrical Split</t>
  </si>
  <si>
    <t>2026-03-09 00:00:00</t>
  </si>
  <si>
    <t>2026-04-08 00:00:00</t>
  </si>
  <si>
    <t>JC10456</t>
  </si>
  <si>
    <t>2026-03-09 08:28:09</t>
  </si>
  <si>
    <t>2026-03-10 12:16:24</t>
  </si>
  <si>
    <t>QU3423</t>
  </si>
  <si>
    <t>12 Esplanade - Convert Tenant Meter to Prepaid</t>
  </si>
  <si>
    <t>JC10449</t>
  </si>
  <si>
    <t>2026-03-09 08:30:39</t>
  </si>
  <si>
    <t>2026-03-09 16:33:18</t>
  </si>
  <si>
    <t>QU3424</t>
  </si>
  <si>
    <t>PO 6484 Dolphins Leap - Shop -8 - Water Meter Replacement</t>
  </si>
  <si>
    <t>2026-04-12 00:00:00</t>
  </si>
  <si>
    <t>JC10453</t>
  </si>
  <si>
    <t>2026-03-09 08:36:48</t>
  </si>
  <si>
    <t>2026-03-13 11:02:31</t>
  </si>
  <si>
    <t>QU3425</t>
  </si>
  <si>
    <t>PO75705 32 Dyer - Unit 14 - Water Meter Replacement</t>
  </si>
  <si>
    <t>JC10445</t>
  </si>
  <si>
    <t>2026-03-09 08:52:01</t>
  </si>
  <si>
    <t>2026-03-17 08:21:06</t>
  </si>
  <si>
    <t>QU3426</t>
  </si>
  <si>
    <t>PO 76057 - Kings Mall - Shop 42- Water Meter Replacement</t>
  </si>
  <si>
    <t>JC10444</t>
  </si>
  <si>
    <t>2026-03-09 08:54:03</t>
  </si>
  <si>
    <t>2026-04-24 12:56:12</t>
  </si>
  <si>
    <t>QU3427</t>
  </si>
  <si>
    <t>Zenprop Property Services</t>
  </si>
  <si>
    <t>The Business Exchange</t>
  </si>
  <si>
    <t>Zenprops - 140 West Street - Smart Electrical Metering</t>
  </si>
  <si>
    <t>JC10401</t>
  </si>
  <si>
    <t>2026-03-09 09:37:10</t>
  </si>
  <si>
    <t>andre@republicmetering.co.za</t>
  </si>
  <si>
    <t>2026-03-19 08:12:37</t>
  </si>
  <si>
    <t>QU3428</t>
  </si>
  <si>
    <t>Blackheath Cape Town</t>
  </si>
  <si>
    <t>Blackheath</t>
  </si>
  <si>
    <t>Blackheath (Vincent Vromans) - Smart Electrical Metering</t>
  </si>
  <si>
    <t>2026-03-09 09:46:37</t>
  </si>
  <si>
    <t>2026-03-10 12:14:32</t>
  </si>
  <si>
    <t>QU3429</t>
  </si>
  <si>
    <t>Kristafor Trust t/a Spar Ngqamakhwe</t>
  </si>
  <si>
    <t>Spar Ngqamakhwe</t>
  </si>
  <si>
    <t>Spar Ngqamakhwe - Municipal Check + Inverter Metering</t>
  </si>
  <si>
    <t>2026-03-10 00:00:00</t>
  </si>
  <si>
    <t>2026-04-09 00:00:00</t>
  </si>
  <si>
    <t>JC10441</t>
  </si>
  <si>
    <t>2026-03-09 10:03:12</t>
  </si>
  <si>
    <t>2026-03-17 08:25:25</t>
  </si>
  <si>
    <t>QU3430</t>
  </si>
  <si>
    <t>Gonubie Centre - Flat 4 - Water Meter Replacement</t>
  </si>
  <si>
    <t>JC10454</t>
  </si>
  <si>
    <t>2026-03-09 10:11:58</t>
  </si>
  <si>
    <t>2026-03-16 08:06:52</t>
  </si>
  <si>
    <t>QU3431</t>
  </si>
  <si>
    <t>BKB - Technician Call Out (Locate Water Meters)</t>
  </si>
  <si>
    <t>2026-03-09 11:39:15</t>
  </si>
  <si>
    <t>2026-03-09 11:42:16</t>
  </si>
  <si>
    <t>QU3432</t>
  </si>
  <si>
    <t>Customized Control Solutions (CCS)</t>
  </si>
  <si>
    <t>76 Akkerboom St, Zwartkop, Centurion, 0051</t>
  </si>
  <si>
    <t>QRY10191</t>
  </si>
  <si>
    <t>2026-03-09 14:39:37</t>
  </si>
  <si>
    <t>2026-03-10 09:27:35</t>
  </si>
  <si>
    <t>QU3433</t>
  </si>
  <si>
    <t>STSPO-000212 - BBC - Gym and Virgin Active Elec Meters</t>
  </si>
  <si>
    <t>JC10339</t>
  </si>
  <si>
    <t>2026-03-09 14:42:32</t>
  </si>
  <si>
    <t>2026-05-06 10:15:21</t>
  </si>
  <si>
    <t>QU3434</t>
  </si>
  <si>
    <t>Flecto Sense (Pty) Ltd</t>
  </si>
  <si>
    <t>269 Annette van Zyl Street</t>
  </si>
  <si>
    <t>PO0422 Stock Sale - Bulk Water Meters</t>
  </si>
  <si>
    <t>QRY10192</t>
  </si>
  <si>
    <t>2026-03-10 16:08:56</t>
  </si>
  <si>
    <t>2026-05-05 11:59:12</t>
  </si>
  <si>
    <t>QU3435</t>
  </si>
  <si>
    <t>Lanzerac Works - Unit 21 Split (Electrical)</t>
  </si>
  <si>
    <t>2026-04-10 00:00:00</t>
  </si>
  <si>
    <t>JC10481</t>
  </si>
  <si>
    <t>2026-03-11 08:57:33</t>
  </si>
  <si>
    <t>2026-03-16 10:23:38</t>
  </si>
  <si>
    <t>QU3436</t>
  </si>
  <si>
    <t>Stock Sale - DN40 Water Meters</t>
  </si>
  <si>
    <t>QRY10193</t>
  </si>
  <si>
    <t>2026-03-11 12:04:56</t>
  </si>
  <si>
    <t>2026-03-11 13:55:11</t>
  </si>
  <si>
    <t>QU3437</t>
  </si>
  <si>
    <t>Brunfelsia Investment Holdings (Pty) Ltd C/O Trueprop Property Services (Pty) Ltd</t>
  </si>
  <si>
    <t>Kyalami Park</t>
  </si>
  <si>
    <t>The Local</t>
  </si>
  <si>
    <t>PO75678 Kyalami Park/Kyalami LOcal - Site Inspection + SLD</t>
  </si>
  <si>
    <t>JC10433</t>
  </si>
  <si>
    <t>2026-03-11 15:12:11</t>
  </si>
  <si>
    <t>2026-03-12 15:21:46</t>
  </si>
  <si>
    <t>QU3438</t>
  </si>
  <si>
    <t>Raumix Aggregates (Pty) Ltd</t>
  </si>
  <si>
    <t>Raumix Aggregates</t>
  </si>
  <si>
    <t>Doornhoek Farm N6 Lesseyton, Komani, 5320</t>
  </si>
  <si>
    <t>RRS0402143 Raumix Aggregates - Smart Electrical Check Meters</t>
  </si>
  <si>
    <t>JC10488</t>
  </si>
  <si>
    <t>2026-03-11 16:27:58</t>
  </si>
  <si>
    <t>2026-05-27 16:20:55</t>
  </si>
  <si>
    <t>QU3439</t>
  </si>
  <si>
    <t>5 Fuchs Meter data download - December 2025 - Feb 2026</t>
  </si>
  <si>
    <t>2026-04-11 00:00:00</t>
  </si>
  <si>
    <t>JC10486</t>
  </si>
  <si>
    <t>2026-03-12 08:27:49</t>
  </si>
  <si>
    <t>2026-03-23 11:46:17</t>
  </si>
  <si>
    <t>QU3440</t>
  </si>
  <si>
    <t>5 Fuchs - Modem Installation</t>
  </si>
  <si>
    <t>2026-03-12 08:29:18</t>
  </si>
  <si>
    <t>2026-03-12 11:26:20</t>
  </si>
  <si>
    <t>QU3441</t>
  </si>
  <si>
    <t>Casingwe Solar Services (PTY) LTD</t>
  </si>
  <si>
    <t>Casingwe Services</t>
  </si>
  <si>
    <t>10 Klein Coornhoop</t>
  </si>
  <si>
    <t>222 Victoria Rd - Smart Electrical Metering</t>
  </si>
  <si>
    <t>QRY10194</t>
  </si>
  <si>
    <t>2026-03-12 09:21:51</t>
  </si>
  <si>
    <t>2026-04-01 12:24:45</t>
  </si>
  <si>
    <t>QU3442</t>
  </si>
  <si>
    <t>Lanzerac Works - Unit 10, 11 + 12 Split (Elec)</t>
  </si>
  <si>
    <t>JC10493</t>
  </si>
  <si>
    <t>2026-03-12 11:21:33</t>
  </si>
  <si>
    <t>2026-03-16 10:23:49</t>
  </si>
  <si>
    <t>QU3443</t>
  </si>
  <si>
    <t>PO75686 14 Donald - Unit 2F1 Split</t>
  </si>
  <si>
    <t>JC10489</t>
  </si>
  <si>
    <t>2026-03-12 12:02:44</t>
  </si>
  <si>
    <t>2026-03-13 15:45:23</t>
  </si>
  <si>
    <t>QU3444</t>
  </si>
  <si>
    <t>QRY10195</t>
  </si>
  <si>
    <t>2026-03-12 12:47:16</t>
  </si>
  <si>
    <t>2026-03-13 10:59:25</t>
  </si>
  <si>
    <t>QU3445</t>
  </si>
  <si>
    <t>BKB - Ct Upgrade (Labour + Tavel)</t>
  </si>
  <si>
    <t>2026-03-12 14:46:01</t>
  </si>
  <si>
    <t>2026-05-28 10:03:38</t>
  </si>
  <si>
    <t>QU3446</t>
  </si>
  <si>
    <t>Rhapsody PTY Electrical</t>
  </si>
  <si>
    <t>Rhapsody - Smart Electrical Metering</t>
  </si>
  <si>
    <t>JC10390</t>
  </si>
  <si>
    <t>2026-03-12 15:06:08</t>
  </si>
  <si>
    <t>2026-03-26 11:12:58</t>
  </si>
  <si>
    <t>QU3447</t>
  </si>
  <si>
    <t>Richard and Roys Properties (Pty) Ltd</t>
  </si>
  <si>
    <t>Stanford Square</t>
  </si>
  <si>
    <t>Stanford Square Shopping Centre</t>
  </si>
  <si>
    <t>Stanford Square - Food Court - Additional Electrical Metering</t>
  </si>
  <si>
    <t>JC10223</t>
  </si>
  <si>
    <t>2026-03-12 15:14:18</t>
  </si>
  <si>
    <t>2026-03-13 12:43:08</t>
  </si>
  <si>
    <t>QU3448</t>
  </si>
  <si>
    <t>River Quarter</t>
  </si>
  <si>
    <t>River Quarter - RO Plant &amp; Borehole - Additional Water Meters</t>
  </si>
  <si>
    <t>JC10323</t>
  </si>
  <si>
    <t>2026-03-12 15:34:34</t>
  </si>
  <si>
    <t>2026-03-24 16:14:02</t>
  </si>
  <si>
    <t>QU3449</t>
  </si>
  <si>
    <t>Blinge Trust</t>
  </si>
  <si>
    <t>Pogson Park</t>
  </si>
  <si>
    <t>Pogson Park - Unit 10 - Electrical Meter Replacement</t>
  </si>
  <si>
    <t>JC10440</t>
  </si>
  <si>
    <t>2026-03-13 09:09:43</t>
  </si>
  <si>
    <t>2026-05-06 10:33:53</t>
  </si>
  <si>
    <t>QU3450</t>
  </si>
  <si>
    <t>The Business Zone 1186 (Pty) Ltd</t>
  </si>
  <si>
    <t>Virgin Active Century City</t>
  </si>
  <si>
    <t>Century City - Move CTs (PV Meter) (After Hours)</t>
  </si>
  <si>
    <t>JC10500</t>
  </si>
  <si>
    <t>2026-03-13 14:08:15</t>
  </si>
  <si>
    <t>2026-03-23 11:39:06</t>
  </si>
  <si>
    <t>QU3451</t>
  </si>
  <si>
    <t>Seven Seasons 214 (Pty) Ltd</t>
  </si>
  <si>
    <t>Hillcrest</t>
  </si>
  <si>
    <t>Hillcrest Spar - SARS Main Office - Water Meter Replacement</t>
  </si>
  <si>
    <t>2026-03-16 00:00:00</t>
  </si>
  <si>
    <t>2026-04-15 00:00:00</t>
  </si>
  <si>
    <t>JC10499</t>
  </si>
  <si>
    <t>2026-03-16 15:16:32</t>
  </si>
  <si>
    <t>2026-03-31 16:02:06</t>
  </si>
  <si>
    <t>QU3452</t>
  </si>
  <si>
    <t>PO75718 12 Esplanade - Unit GF1 &amp; 2 - Water Meter Replacements</t>
  </si>
  <si>
    <t>JC10498</t>
  </si>
  <si>
    <t>2026-03-16 15:52:00</t>
  </si>
  <si>
    <t>2026-03-17 16:36:21</t>
  </si>
  <si>
    <t>QU3453</t>
  </si>
  <si>
    <t>Pearson Street</t>
  </si>
  <si>
    <t>Pearson St - Meter 2 and 3 - Water Meter Replacement (amended)</t>
  </si>
  <si>
    <t>2026-04-17 00:00:00</t>
  </si>
  <si>
    <t>JC10490</t>
  </si>
  <si>
    <t>2026-03-16 15:56:00</t>
  </si>
  <si>
    <t>2026-04-23 08:52:34</t>
  </si>
  <si>
    <t>QU3455</t>
  </si>
  <si>
    <t>PO135696 MIddleburg Mall - Stock Sale - Water Meters</t>
  </si>
  <si>
    <t>2026-03-17 00:00:00</t>
  </si>
  <si>
    <t>2026-04-16 00:00:00</t>
  </si>
  <si>
    <t>QRY10196</t>
  </si>
  <si>
    <t>2026-03-17 12:18:20</t>
  </si>
  <si>
    <t>2026-03-25 08:43:56</t>
  </si>
  <si>
    <t>QU3456</t>
  </si>
  <si>
    <t>Eastleigh Exchnage - Unit 4B + 4C Split (Elec)</t>
  </si>
  <si>
    <t>JC10501</t>
  </si>
  <si>
    <t>2026-03-17 12:35:53</t>
  </si>
  <si>
    <t>2026-03-23 11:42:08</t>
  </si>
  <si>
    <t>QU3457</t>
  </si>
  <si>
    <t>Wadeville Works - Prepaid Signal Improvement</t>
  </si>
  <si>
    <t>2026-05-15 00:00:00</t>
  </si>
  <si>
    <t>JC10517</t>
  </si>
  <si>
    <t>2026-03-18 08:40:58</t>
  </si>
  <si>
    <t>2026-04-16 12:28:20</t>
  </si>
  <si>
    <t>QU3458</t>
  </si>
  <si>
    <t>Spar DC</t>
  </si>
  <si>
    <t>Perseverance Industrial Park</t>
  </si>
  <si>
    <t>Spar DC - Smart Electrical Metering</t>
  </si>
  <si>
    <t>2026-04-18 00:00:00</t>
  </si>
  <si>
    <t>JC10519</t>
  </si>
  <si>
    <t>2026-03-18 08:44:48</t>
  </si>
  <si>
    <t>2026-03-19 10:21:31</t>
  </si>
  <si>
    <t>QU3459</t>
  </si>
  <si>
    <t>PR273 Floorworx</t>
  </si>
  <si>
    <t>Floorworx - Smart Electrical and Water Metering - Option 1</t>
  </si>
  <si>
    <t>JC10515</t>
  </si>
  <si>
    <t>2026-03-18 09:00:11</t>
  </si>
  <si>
    <t>2026-03-18 14:53:49</t>
  </si>
  <si>
    <t>QU3460</t>
  </si>
  <si>
    <t>Floorworx - Smart Electrical and Water Metering - Option 2</t>
  </si>
  <si>
    <t>2026-03-18 09:26:45</t>
  </si>
  <si>
    <t>2026-03-18 14:54:06</t>
  </si>
  <si>
    <t>QU3461</t>
  </si>
  <si>
    <t>Leonardo Park</t>
  </si>
  <si>
    <t>Leonardo Park: Smart Water and Electrical Metering</t>
  </si>
  <si>
    <t>JC10663</t>
  </si>
  <si>
    <t>2026-03-18 15:18:35</t>
  </si>
  <si>
    <t>2026-05-22 08:54:29</t>
  </si>
  <si>
    <t>QU3462</t>
  </si>
  <si>
    <t>Spar Oak Cottages/Tops (African Street) - Municipal Check (Water)</t>
  </si>
  <si>
    <t>JC10524</t>
  </si>
  <si>
    <t>2026-03-19 08:32:43</t>
  </si>
  <si>
    <t>2026-03-19 15:14:45</t>
  </si>
  <si>
    <t>QU3463</t>
  </si>
  <si>
    <t>Mbova Construction - Stock Sale - Smart Water Meters</t>
  </si>
  <si>
    <t>2026-03-19 09:12:27</t>
  </si>
  <si>
    <t>QU3465</t>
  </si>
  <si>
    <t>Ultrabuild(Pty)Ltd</t>
  </si>
  <si>
    <t>Ultra Boreholes - Stock Sale - Water Meters</t>
  </si>
  <si>
    <t>QRY10198</t>
  </si>
  <si>
    <t>2026-03-19 10:06:54</t>
  </si>
  <si>
    <t>2026-03-19 15:50:16</t>
  </si>
  <si>
    <t>QU3466</t>
  </si>
  <si>
    <t>2026-03-19 10:16:05</t>
  </si>
  <si>
    <t>2026-03-19 10:17:12</t>
  </si>
  <si>
    <t>QU3469</t>
  </si>
  <si>
    <t>Live Easy - Fourways - Water Meters (Supply Only)</t>
  </si>
  <si>
    <t>2026-03-19 15:50:49</t>
  </si>
  <si>
    <t>2026-03-19 15:56:06</t>
  </si>
  <si>
    <t>QU3470</t>
  </si>
  <si>
    <t>Live Easy - Rivonia - Water Meters (Supply Only)</t>
  </si>
  <si>
    <t>2026-03-19 15:51:04</t>
  </si>
  <si>
    <t>2026-03-19 15:56:02</t>
  </si>
  <si>
    <t>QU3471</t>
  </si>
  <si>
    <t>Live Easy - Sunninghill - Water Meters (Supply Only)</t>
  </si>
  <si>
    <t>2026-03-19 15:51:22</t>
  </si>
  <si>
    <t>2026-03-19 15:56:03</t>
  </si>
  <si>
    <t>QU3472</t>
  </si>
  <si>
    <t>PR013 70 Stewart Drive</t>
  </si>
  <si>
    <t>PR013 70 Stewart Drive - Smart Metering - Option 1</t>
  </si>
  <si>
    <t>2026-04-22 00:00:00</t>
  </si>
  <si>
    <t>JC10507</t>
  </si>
  <si>
    <t>2026-03-20 13:55:30</t>
  </si>
  <si>
    <t>2026-03-23 14:34:22</t>
  </si>
  <si>
    <t>QU3473</t>
  </si>
  <si>
    <t>PR013 70 Stewart Drive - Smart Metering - Option 2</t>
  </si>
  <si>
    <t>2026-03-20 14:16:22</t>
  </si>
  <si>
    <t>2026-03-23 14:34:32</t>
  </si>
  <si>
    <t>QU3474</t>
  </si>
  <si>
    <t>InoFort Proprietary Limited [Malibongwe Exchange]</t>
  </si>
  <si>
    <t>Malibongwe Exchange</t>
  </si>
  <si>
    <t>Malibongwe Exchange, 123 Malibongwe Drive, Strijdompark, Randburg, 2195 (Chane)</t>
  </si>
  <si>
    <t>Malibongwe Exchange - Prepaid Signal Improvement</t>
  </si>
  <si>
    <t>JC10462</t>
  </si>
  <si>
    <t>2026-03-23 10:23:46</t>
  </si>
  <si>
    <t>2026-05-15 10:22:40</t>
  </si>
  <si>
    <t>QU3475</t>
  </si>
  <si>
    <t>Gonubie Centre - Flat 1 - Water Meter Replacement</t>
  </si>
  <si>
    <t>2026-04-24 00:00:00</t>
  </si>
  <si>
    <t>JC10487</t>
  </si>
  <si>
    <t>2026-03-23 10:34:34</t>
  </si>
  <si>
    <t>2026-03-25 16:02:31</t>
  </si>
  <si>
    <t>QU3476</t>
  </si>
  <si>
    <t>2026-03-23 10:46:30</t>
  </si>
  <si>
    <t>2026-05-22 12:22:27</t>
  </si>
  <si>
    <t>QU3477</t>
  </si>
  <si>
    <t>Lords View - Muni Check - Water Meter Replacement</t>
  </si>
  <si>
    <t>JC10525</t>
  </si>
  <si>
    <t>2026-03-23 11:08:54</t>
  </si>
  <si>
    <t>2026-03-25 16:28:41</t>
  </si>
  <si>
    <t>QU3478</t>
  </si>
  <si>
    <t>Jagger Works - Municipal Check (Elec) - CT Upgrade - Split Core</t>
  </si>
  <si>
    <t>JC10543</t>
  </si>
  <si>
    <t>2026-03-23 11:22:14</t>
  </si>
  <si>
    <t>2026-03-26 14:49:00</t>
  </si>
  <si>
    <t>QU3479</t>
  </si>
  <si>
    <t>Jagger Works - Municipal Check (Elec) - CT Upgrade - Solid</t>
  </si>
  <si>
    <t>2026-03-23 11:25:23</t>
  </si>
  <si>
    <t>2026-03-26 14:49:03</t>
  </si>
  <si>
    <t>QU3480</t>
  </si>
  <si>
    <t>Derprops 113 (Pty) Ltd</t>
  </si>
  <si>
    <t>Derprops Industrial Park</t>
  </si>
  <si>
    <t>Neulux Park - PV Metering - Supply and Install</t>
  </si>
  <si>
    <t>JC10542</t>
  </si>
  <si>
    <t>2026-03-23 11:28:38</t>
  </si>
  <si>
    <t>2026-05-06 15:36:45</t>
  </si>
  <si>
    <t>QU3481</t>
  </si>
  <si>
    <t>Centurion Branch</t>
  </si>
  <si>
    <t>Die Anker Building</t>
  </si>
  <si>
    <t>SKEPO-017656 Die Anker - Stock Sale - Electrical meters</t>
  </si>
  <si>
    <t>QRY10197</t>
  </si>
  <si>
    <t>2026-03-23 14:21:33</t>
  </si>
  <si>
    <t>2026-03-27 11:42:42</t>
  </si>
  <si>
    <t>QU3482</t>
  </si>
  <si>
    <t>Pretor Group</t>
  </si>
  <si>
    <t>Kingston Park</t>
  </si>
  <si>
    <t>Kingston Park - Smart Electrical and Watering</t>
  </si>
  <si>
    <t>2026-03-24 00:00:00</t>
  </si>
  <si>
    <t>2026-04-23 00:00:00</t>
  </si>
  <si>
    <t>JC10520</t>
  </si>
  <si>
    <t>2026-03-24 16:19:50</t>
  </si>
  <si>
    <t>2026-03-26 10:41:48</t>
  </si>
  <si>
    <t>QU3484</t>
  </si>
  <si>
    <t>QRY10200</t>
  </si>
  <si>
    <t>2026-03-25 09:44:44</t>
  </si>
  <si>
    <t>2026-03-26 14:39:14</t>
  </si>
  <si>
    <t>QU3485</t>
  </si>
  <si>
    <t>Maitland Industrial Park - Block C &amp; G - Modem Replacement</t>
  </si>
  <si>
    <t>JC10496</t>
  </si>
  <si>
    <t>2026-03-25 12:02:52</t>
  </si>
  <si>
    <t>2026-04-14 16:21:17</t>
  </si>
  <si>
    <t>QU3486</t>
  </si>
  <si>
    <t>2026-03-25 14:34:05</t>
  </si>
  <si>
    <t>2026-03-25 15:57:13</t>
  </si>
  <si>
    <t>QU3487</t>
  </si>
  <si>
    <t>Swartland Investments (Pty) Ltd - Boskor</t>
  </si>
  <si>
    <t>Boskor</t>
  </si>
  <si>
    <t>N2 Kleinbos</t>
  </si>
  <si>
    <t>PO 279522 Short Short &amp; 1.2MV - Modem Replacement</t>
  </si>
  <si>
    <t>JC10534</t>
  </si>
  <si>
    <t>2026-03-25 14:45:59</t>
  </si>
  <si>
    <t>2026-03-30 09:19:25</t>
  </si>
  <si>
    <t>QU3488</t>
  </si>
  <si>
    <t>Dolphins Leap - Borehole - Water Meter Replacement</t>
  </si>
  <si>
    <t>JC10529</t>
  </si>
  <si>
    <t>2026-03-25 14:49:34</t>
  </si>
  <si>
    <t>2026-03-27 11:25:46</t>
  </si>
  <si>
    <t>QU3489</t>
  </si>
  <si>
    <t>The Business Exchange (140 West St) - Smart Water Metering</t>
  </si>
  <si>
    <t>2026-03-25 15:41:50</t>
  </si>
  <si>
    <t>2026-03-26 11:10:15</t>
  </si>
  <si>
    <t>QU3490</t>
  </si>
  <si>
    <t>Neulux Park - PV Metering</t>
  </si>
  <si>
    <t>2026-04-25 00:00:00</t>
  </si>
  <si>
    <t>2026-03-26 08:28:46</t>
  </si>
  <si>
    <t>2026-05-06 15:36:38</t>
  </si>
  <si>
    <t>QU3491</t>
  </si>
  <si>
    <t>LSS Unlimited (Pty) Ltd</t>
  </si>
  <si>
    <t>7 Leonard Park</t>
  </si>
  <si>
    <t>7 Leonard Park - Smart Electrical Metering</t>
  </si>
  <si>
    <t>2026-04-26 00:00:00</t>
  </si>
  <si>
    <t>JC10596</t>
  </si>
  <si>
    <t>2026-03-27 12:12:51</t>
  </si>
  <si>
    <t>2026-04-15 08:11:11</t>
  </si>
  <si>
    <t>QU3493</t>
  </si>
  <si>
    <t>2026-03-30 00:00:00</t>
  </si>
  <si>
    <t>2026-04-29 00:00:00</t>
  </si>
  <si>
    <t>QRY10201</t>
  </si>
  <si>
    <t>2026-03-30 09:53:05</t>
  </si>
  <si>
    <t>2026-03-30 16:16:35</t>
  </si>
  <si>
    <t>QU3494</t>
  </si>
  <si>
    <t>Sunshine Mall</t>
  </si>
  <si>
    <t>OB4/39 Beer Properties - Sunshine Mall - PV Metering</t>
  </si>
  <si>
    <t>2026-05-01 00:00:00</t>
  </si>
  <si>
    <t>JC10506</t>
  </si>
  <si>
    <t>2026-03-30 10:54:47</t>
  </si>
  <si>
    <t>2026-04-07 13:04:21</t>
  </si>
  <si>
    <t>QU3495</t>
  </si>
  <si>
    <t>Bishops Glen Farm</t>
  </si>
  <si>
    <t>Bishops Glen Farm - Smart Electrical Metering</t>
  </si>
  <si>
    <t>JC10603</t>
  </si>
  <si>
    <t>2026-03-30 11:06:09</t>
  </si>
  <si>
    <t>2026-04-02 11:01:15</t>
  </si>
  <si>
    <t>QU3496</t>
  </si>
  <si>
    <t>Standard Square - Unit 201 - Water Meter Replacement</t>
  </si>
  <si>
    <t>2026-03-31 00:00:00</t>
  </si>
  <si>
    <t>2026-04-30 00:00:00</t>
  </si>
  <si>
    <t>JC10597</t>
  </si>
  <si>
    <t>2026-03-30 11:15:36</t>
  </si>
  <si>
    <t>2026-04-21 14:07:59</t>
  </si>
  <si>
    <t>QU3497</t>
  </si>
  <si>
    <t>Willowvale - Caltex - Water Meter Replacement</t>
  </si>
  <si>
    <t>JC10595</t>
  </si>
  <si>
    <t>2026-03-30 11:21:11</t>
  </si>
  <si>
    <t>2026-04-08 13:59:33</t>
  </si>
  <si>
    <t>QU3498</t>
  </si>
  <si>
    <t>PO75910 Kings Mall - Shop 05 + Shop 44 - Water Meter Replacements</t>
  </si>
  <si>
    <t>2026-04-13 00:00:00</t>
  </si>
  <si>
    <t>2026-05-10 00:00:00</t>
  </si>
  <si>
    <t>JC10592</t>
  </si>
  <si>
    <t>2026-03-30 11:23:41</t>
  </si>
  <si>
    <t>2026-04-13 12:41:54</t>
  </si>
  <si>
    <t>QU3500</t>
  </si>
  <si>
    <t>Stock Sale - Single-Phase Meter</t>
  </si>
  <si>
    <t>QRY10204</t>
  </si>
  <si>
    <t>2026-03-30 12:34:17</t>
  </si>
  <si>
    <t>2026-03-30 16:27:41</t>
  </si>
  <si>
    <t>QU3501</t>
  </si>
  <si>
    <t>CK6 Electrical</t>
  </si>
  <si>
    <t>21st Avenue 484</t>
  </si>
  <si>
    <t>QRY10206</t>
  </si>
  <si>
    <t>2026-03-30 16:00:33</t>
  </si>
  <si>
    <t>2026-03-31 12:29:13</t>
  </si>
  <si>
    <t>QU3502</t>
  </si>
  <si>
    <t>13 Top Rd/12 Middle Rd - Water Meter Commissioning</t>
  </si>
  <si>
    <t>JC10566</t>
  </si>
  <si>
    <t>2026-03-31 10:58:31</t>
  </si>
  <si>
    <t>2026-04-13 12:35:53</t>
  </si>
  <si>
    <t>QU3503</t>
  </si>
  <si>
    <t>Holdings 302/308 Pomona (Pty) Ltd</t>
  </si>
  <si>
    <t>George The Views</t>
  </si>
  <si>
    <t>6 Ring St - Smart Electrical Metering (Supply Only)</t>
  </si>
  <si>
    <t>JC10614</t>
  </si>
  <si>
    <t>2026-03-31 11:10:12</t>
  </si>
  <si>
    <t>2026-04-09 10:55:49</t>
  </si>
  <si>
    <t>QU3504</t>
  </si>
  <si>
    <t>Stock Sale - DN40</t>
  </si>
  <si>
    <t>QRY10207</t>
  </si>
  <si>
    <t>2026-03-31 12:37:54</t>
  </si>
  <si>
    <t>2026-03-31 13:14:30</t>
  </si>
  <si>
    <t>QU3508</t>
  </si>
  <si>
    <t>2026-04-01 16:27:22</t>
  </si>
  <si>
    <t>2026-04-02 10:59:43</t>
  </si>
  <si>
    <t>QU3509</t>
  </si>
  <si>
    <t>PO75891 13 Top Rd - Water Meter Commissioning</t>
  </si>
  <si>
    <t>2026-05-02 00:00:00</t>
  </si>
  <si>
    <t>2026-04-02 11:08:16</t>
  </si>
  <si>
    <t>2026-04-13 12:34:47</t>
  </si>
  <si>
    <t>QU3510</t>
  </si>
  <si>
    <t>PO75890 12 Middle Rd - Water Meter Commissioning</t>
  </si>
  <si>
    <t>2026-04-02 11:08:55</t>
  </si>
  <si>
    <t>2026-04-13 12:35:23</t>
  </si>
  <si>
    <t>QU3511</t>
  </si>
  <si>
    <t>Anker - Floor 1 (Ticket T 13501) - Electrical Meter</t>
  </si>
  <si>
    <t>QRY10208</t>
  </si>
  <si>
    <t>2026-04-02 14:46:35</t>
  </si>
  <si>
    <t>2026-04-02 14:49:56</t>
  </si>
  <si>
    <t>QU3512</t>
  </si>
  <si>
    <t>Valoworx - Floor 1 (Ticket T 13340) - Electrical Meter</t>
  </si>
  <si>
    <t>2026-04-02 14:49:27</t>
  </si>
  <si>
    <t>2026-04-02 14:49:53</t>
  </si>
  <si>
    <t>QU3513</t>
  </si>
  <si>
    <t>Stewarts &amp; Lloyds</t>
  </si>
  <si>
    <t>2026-05-05 00:00:00</t>
  </si>
  <si>
    <t>2026-06-04 00:00:00</t>
  </si>
  <si>
    <t>QRY10202</t>
  </si>
  <si>
    <t>2026-04-02 15:00:59</t>
  </si>
  <si>
    <t>2026-05-05 12:29:06</t>
  </si>
  <si>
    <t>QU3514</t>
  </si>
  <si>
    <t>PR150 - Motorland EL</t>
  </si>
  <si>
    <t>PR150 Motorland EL - Smart Electrical and Water Metering</t>
  </si>
  <si>
    <t>2026-04-07 00:00:00</t>
  </si>
  <si>
    <t>2026-05-07 00:00:00</t>
  </si>
  <si>
    <t>JC10511</t>
  </si>
  <si>
    <t>2026-04-07 10:13:07</t>
  </si>
  <si>
    <t>2026-04-09 09:11:09</t>
  </si>
  <si>
    <t>QU3515</t>
  </si>
  <si>
    <t>PR027 Union Arcade</t>
  </si>
  <si>
    <t>PR027 Union Arcade, 30 Terminus Street, East London City, East London</t>
  </si>
  <si>
    <t>PR027 Union Arcade - Smart Electrical and Water Metering</t>
  </si>
  <si>
    <t>JC10514</t>
  </si>
  <si>
    <t>2026-04-07 10:20:40</t>
  </si>
  <si>
    <t>2026-04-09 09:00:16</t>
  </si>
  <si>
    <t>QU3516</t>
  </si>
  <si>
    <t>PR008 Trust Centre EL</t>
  </si>
  <si>
    <t>PR008 Trust Centre EL, 117 Oxford Street, East London City, East London</t>
  </si>
  <si>
    <t>PR008 Trust Centre - Smart Electrical and Water metering</t>
  </si>
  <si>
    <t>JC10508</t>
  </si>
  <si>
    <t>2026-04-07 10:41:28</t>
  </si>
  <si>
    <t>2026-04-09 08:59:37</t>
  </si>
  <si>
    <t>QU3517</t>
  </si>
  <si>
    <t>PR005 Octoproc</t>
  </si>
  <si>
    <t>PR005 Octoproc, 34-36 Argyle Street, East London City, East London</t>
  </si>
  <si>
    <t>PR005 Octoproc - Smart Electrical and Water Metering</t>
  </si>
  <si>
    <t>JC10509</t>
  </si>
  <si>
    <t>2026-04-07 11:21:03</t>
  </si>
  <si>
    <t>2026-04-09 11:39:34</t>
  </si>
  <si>
    <t>QU3518</t>
  </si>
  <si>
    <t>PR133 North Street</t>
  </si>
  <si>
    <t>PR133 North Street, 21-23 North Street, CBD, East London</t>
  </si>
  <si>
    <t>PR133 North Street - Smart Electrical and Water Metering</t>
  </si>
  <si>
    <t>JC10510</t>
  </si>
  <si>
    <t>2026-04-07 12:03:56</t>
  </si>
  <si>
    <t>2026-04-09 09:13:12</t>
  </si>
  <si>
    <t>QU3519</t>
  </si>
  <si>
    <t>PR007 Sanlam Building</t>
  </si>
  <si>
    <t>PR007 Sanlam Building, 105-115 Oxford Street, East London City, East London</t>
  </si>
  <si>
    <t>PR007 Sanlam - Smart Electrical and Water Metering</t>
  </si>
  <si>
    <t>JC10512</t>
  </si>
  <si>
    <t>2026-04-07 12:09:33</t>
  </si>
  <si>
    <t>lindy@republicmetering.co.za</t>
  </si>
  <si>
    <t>2026-05-06 14:33:14</t>
  </si>
  <si>
    <t>QU3520</t>
  </si>
  <si>
    <t>OB-4/40 Peppergrove Mall - PV Metering</t>
  </si>
  <si>
    <t>JC10505</t>
  </si>
  <si>
    <t>2026-04-07 12:31:34</t>
  </si>
  <si>
    <t>2026-05-14 14:12:03</t>
  </si>
  <si>
    <t>QU3521</t>
  </si>
  <si>
    <t>Equinox - Sea Point</t>
  </si>
  <si>
    <t>154 Main Rd,</t>
  </si>
  <si>
    <t>Equinox Sea Point - Smart Electrical Metering</t>
  </si>
  <si>
    <t>2026-06-06 00:00:00</t>
  </si>
  <si>
    <t>JC10593</t>
  </si>
  <si>
    <t>2026-04-07 12:38:23</t>
  </si>
  <si>
    <t>2026-05-08 15:47:44</t>
  </si>
  <si>
    <t>QU3522</t>
  </si>
  <si>
    <t>2026-05-08 00:00:00</t>
  </si>
  <si>
    <t>QRY10209</t>
  </si>
  <si>
    <t>2026-04-08 10:44:19</t>
  </si>
  <si>
    <t>2026-05-15 10:24:49</t>
  </si>
  <si>
    <t>QU3523</t>
  </si>
  <si>
    <t>Swartland Boskor - Municipal Check - Water Meter Replacement</t>
  </si>
  <si>
    <t>JC10633</t>
  </si>
  <si>
    <t>2026-04-08 10:48:26</t>
  </si>
  <si>
    <t>2026-04-28 15:15:22</t>
  </si>
  <si>
    <t>QU3524</t>
  </si>
  <si>
    <t>Warehouse, Modiano, Drying Room Heatpump - Water Meter Replacement</t>
  </si>
  <si>
    <t>2026-05-12 00:00:00</t>
  </si>
  <si>
    <t>JC10610</t>
  </si>
  <si>
    <t>2026-04-08 10:54:02</t>
  </si>
  <si>
    <t>2026-04-13 09:12:58</t>
  </si>
  <si>
    <t>QU3525</t>
  </si>
  <si>
    <t>77 Bridge St</t>
  </si>
  <si>
    <t>OB 4/43 shop 2/3 and Shop 04 &amp; 05 - Plus Fashions toilets - Water Meter Replacement</t>
  </si>
  <si>
    <t>JC10609</t>
  </si>
  <si>
    <t>2026-04-08 11:00:21</t>
  </si>
  <si>
    <t>2026-04-21 14:42:39</t>
  </si>
  <si>
    <t>QU3526</t>
  </si>
  <si>
    <t>40 Eagle St</t>
  </si>
  <si>
    <t>OB 4/42 40 Eagle Street - Shop 02 - Value Mart - Water Meter Replacement</t>
  </si>
  <si>
    <t>JC10612</t>
  </si>
  <si>
    <t>2026-04-08 11:04:27</t>
  </si>
  <si>
    <t>2026-04-14 09:34:11</t>
  </si>
  <si>
    <t>QU3527</t>
  </si>
  <si>
    <t>Tambo Exchange - Prepaid Signal Improvement</t>
  </si>
  <si>
    <t>JC10531</t>
  </si>
  <si>
    <t>2026-04-08 11:36:27</t>
  </si>
  <si>
    <t>2026-04-16 12:27:13</t>
  </si>
  <si>
    <t>QU3528</t>
  </si>
  <si>
    <t>Coventry Works - Prepaid Signal Improvement</t>
  </si>
  <si>
    <t>JC10289</t>
  </si>
  <si>
    <t>2026-04-08 11:48:12</t>
  </si>
  <si>
    <t>2026-04-16 12:30:25</t>
  </si>
  <si>
    <t>QU3529</t>
  </si>
  <si>
    <t>Lanzerac Works - Prepaid Signal Improvement</t>
  </si>
  <si>
    <t>JC10470</t>
  </si>
  <si>
    <t>2026-04-08 11:52:55</t>
  </si>
  <si>
    <t>2026-04-16 12:30:42</t>
  </si>
  <si>
    <t>QU3530</t>
  </si>
  <si>
    <t>InoFort Proprietary Limited [Sandton Works]</t>
  </si>
  <si>
    <t>Sandton Works</t>
  </si>
  <si>
    <t>Sandton Works, 44 15th Street, Eastgate, Sandton, 2090 (Sharon)</t>
  </si>
  <si>
    <t>Sandton Works - Prepaid Signal Improvement</t>
  </si>
  <si>
    <t>JC10465</t>
  </si>
  <si>
    <t>2026-04-08 12:31:02</t>
  </si>
  <si>
    <t>2026-04-16 12:30:59</t>
  </si>
  <si>
    <t>QU3531</t>
  </si>
  <si>
    <t>Civil and general - Amberdale - Smart Electrical Metering (Revised)Revised)</t>
  </si>
  <si>
    <t>2026-04-08 15:09:45</t>
  </si>
  <si>
    <t>2026-05-27 12:27:26</t>
  </si>
  <si>
    <t>QU3532</t>
  </si>
  <si>
    <t>Sigma Switchboard Manufacturing cc</t>
  </si>
  <si>
    <t>PO Box 4125</t>
  </si>
  <si>
    <t>QRY10210</t>
  </si>
  <si>
    <t>2026-04-08 15:38:39</t>
  </si>
  <si>
    <t>2026-04-09 10:42:09</t>
  </si>
  <si>
    <t>QU3533</t>
  </si>
  <si>
    <t>Reticulation Network Management (Pty) Ltd</t>
  </si>
  <si>
    <t>PO Box 1862</t>
  </si>
  <si>
    <t>Stock Sale - Single Phase Meters</t>
  </si>
  <si>
    <t>QRY10213</t>
  </si>
  <si>
    <t>2026-04-10 10:12:05</t>
  </si>
  <si>
    <t>2026-04-23 12:40:00</t>
  </si>
  <si>
    <t>QU3534</t>
  </si>
  <si>
    <t>Lance Riley (The Cockhouse)</t>
  </si>
  <si>
    <t>The Cockhouse</t>
  </si>
  <si>
    <t>The Cockhouse - Smart Water Metering</t>
  </si>
  <si>
    <t>JC10662</t>
  </si>
  <si>
    <t>2026-04-13 10:39:29</t>
  </si>
  <si>
    <t>2026-04-16 15:04:33</t>
  </si>
  <si>
    <t>QU3535</t>
  </si>
  <si>
    <t>Signal Improvement - Pit Antenna</t>
  </si>
  <si>
    <t>2026-04-21 00:00:00</t>
  </si>
  <si>
    <t>2026-05-20 00:00:00</t>
  </si>
  <si>
    <t>2026-04-13 10:42:47</t>
  </si>
  <si>
    <t>2026-05-14 14:16:07</t>
  </si>
  <si>
    <t>QU3536</t>
  </si>
  <si>
    <t>Kings Mall - Shop 11 (Miladys) - Water Meter Replacement</t>
  </si>
  <si>
    <t>2026-05-13 00:00:00</t>
  </si>
  <si>
    <t>JC10655</t>
  </si>
  <si>
    <t>2026-04-13 10:47:13</t>
  </si>
  <si>
    <t>2026-04-17 12:43:02</t>
  </si>
  <si>
    <t>QU3537</t>
  </si>
  <si>
    <t>PO6535 Dolphins Leap - Shop 12 Toilet - Water Meter Replacement</t>
  </si>
  <si>
    <t>JC10659</t>
  </si>
  <si>
    <t>2026-04-13 10:52:24</t>
  </si>
  <si>
    <t>2026-04-17 12:13:05</t>
  </si>
  <si>
    <t>QU3538</t>
  </si>
  <si>
    <t>The Block, 51 Wale Street</t>
  </si>
  <si>
    <t>Textile Exchange - Unit WB03A - New Rama Super Store - Water Meter Replacement</t>
  </si>
  <si>
    <t>JC10665</t>
  </si>
  <si>
    <t>2026-04-13 10:56:40</t>
  </si>
  <si>
    <t>2026-04-17 08:24:02</t>
  </si>
  <si>
    <t>QU3539</t>
  </si>
  <si>
    <t>Nautica - Shop 08; Shop 17; Shop 22 - Water Meter Replacements</t>
  </si>
  <si>
    <t>JC10667</t>
  </si>
  <si>
    <t>2026-04-13 10:58:30</t>
  </si>
  <si>
    <t>2026-04-15 08:07:13</t>
  </si>
  <si>
    <t>QU3540</t>
  </si>
  <si>
    <t>Newton Park - Water Meter Replacement</t>
  </si>
  <si>
    <t>JC10634</t>
  </si>
  <si>
    <t>2026-04-13 11:01:49</t>
  </si>
  <si>
    <t>2026-04-23 08:53:17</t>
  </si>
  <si>
    <t>QU3541</t>
  </si>
  <si>
    <t>Rebus Industrial Control</t>
  </si>
  <si>
    <t>2nd Floor, Office Block</t>
  </si>
  <si>
    <t>QRY10212</t>
  </si>
  <si>
    <t>2026-04-13 12:58:59</t>
  </si>
  <si>
    <t>2026-04-14 12:37:18</t>
  </si>
  <si>
    <t>QU3542</t>
  </si>
  <si>
    <t>Legacy Power South Africa (Pty) Ltd</t>
  </si>
  <si>
    <t>22-23 Makepeace Crescent</t>
  </si>
  <si>
    <t>QRY10211</t>
  </si>
  <si>
    <t>2026-04-13 14:00:11</t>
  </si>
  <si>
    <t>2026-04-14 12:34:54</t>
  </si>
  <si>
    <t>QU3543</t>
  </si>
  <si>
    <t>CT Meter (Supply &amp; Onboard Only) - Option 1 (1000/5A Cts)</t>
  </si>
  <si>
    <t>2026-04-14 00:00:00</t>
  </si>
  <si>
    <t>2026-05-14 00:00:00</t>
  </si>
  <si>
    <t>JC10675</t>
  </si>
  <si>
    <t>2026-04-14 09:20:21</t>
  </si>
  <si>
    <t>2026-04-15 15:58:17</t>
  </si>
  <si>
    <t>QU3544</t>
  </si>
  <si>
    <t>CT Meter (Supply &amp; Onboard Only) - Option 2 (2000/5A CTs)</t>
  </si>
  <si>
    <t>2026-04-14 09:20:45</t>
  </si>
  <si>
    <t>2026-04-15 15:58:11</t>
  </si>
  <si>
    <t>QU3545</t>
  </si>
  <si>
    <t>PO-4345 Stock Sale - D50 Water Meter</t>
  </si>
  <si>
    <t>2026-04-14 11:48:02</t>
  </si>
  <si>
    <t>2026-04-15 10:02:56</t>
  </si>
  <si>
    <t>QU3546</t>
  </si>
  <si>
    <t>Smart Electrical Metering (Supply and Onboard)</t>
  </si>
  <si>
    <t>2026-05-29 00:00:00</t>
  </si>
  <si>
    <t>QRY10215</t>
  </si>
  <si>
    <t>2026-04-14 12:40:48</t>
  </si>
  <si>
    <t>2026-04-30 16:09:32</t>
  </si>
  <si>
    <t>QU3547</t>
  </si>
  <si>
    <t>2026-04-14 14:16:38</t>
  </si>
  <si>
    <t>2026-04-23 16:30:02</t>
  </si>
  <si>
    <t>QU3548</t>
  </si>
  <si>
    <t>Todd Chambers Building</t>
  </si>
  <si>
    <t>Todd Chamber Building - Muni Check - Water Meter Replacement</t>
  </si>
  <si>
    <t>JC10677</t>
  </si>
  <si>
    <t>2026-04-15 11:21:51</t>
  </si>
  <si>
    <t>2026-04-23 08:51:26</t>
  </si>
  <si>
    <t>QU3549</t>
  </si>
  <si>
    <t>P O Box 71687</t>
  </si>
  <si>
    <t>CT Meters (for use at GM Industrial Park)</t>
  </si>
  <si>
    <t>QRY10216</t>
  </si>
  <si>
    <t>2026-04-15 15:21:10</t>
  </si>
  <si>
    <t>2026-04-23 08:46:11</t>
  </si>
  <si>
    <t>QU3550</t>
  </si>
  <si>
    <t>Comp Air Workshop - Water Meter Replacement</t>
  </si>
  <si>
    <t>JC10686</t>
  </si>
  <si>
    <t>2026-04-15 16:04:04</t>
  </si>
  <si>
    <t>2026-04-23 08:54:15</t>
  </si>
  <si>
    <t>QU3551</t>
  </si>
  <si>
    <t>Wynberg Works Body Corporate C/O De Lucia Properties (Pty) Ltd</t>
  </si>
  <si>
    <t>Courtney Thompson</t>
  </si>
  <si>
    <t>Wynberg Works - Unit 15.1 - Prepaid Meter Replacement</t>
  </si>
  <si>
    <t>2026-04-28 00:00:00</t>
  </si>
  <si>
    <t>2026-05-27 00:00:00</t>
  </si>
  <si>
    <t>JC10684</t>
  </si>
  <si>
    <t>2026-04-16 14:25:16</t>
  </si>
  <si>
    <t>2026-05-08 10:24:14</t>
  </si>
  <si>
    <t>QU3552</t>
  </si>
  <si>
    <t>PO 75984 6 - 8 Donald - Unit 1F7 - Water Meter Replacement</t>
  </si>
  <si>
    <t>2026-05-16 00:00:00</t>
  </si>
  <si>
    <t>JC10682</t>
  </si>
  <si>
    <t>2026-04-16 14:28:46</t>
  </si>
  <si>
    <t>2026-04-21 14:06:50</t>
  </si>
  <si>
    <t>QU3553</t>
  </si>
  <si>
    <t>GM Industrial Park - Electrical Meters</t>
  </si>
  <si>
    <t>JC10676</t>
  </si>
  <si>
    <t>2026-04-16 14:32:00</t>
  </si>
  <si>
    <t>2026-04-20 10:10:43</t>
  </si>
  <si>
    <t>QU3554</t>
  </si>
  <si>
    <t>Scania South Africa (PTY) Ltd</t>
  </si>
  <si>
    <t>Scania Head Office</t>
  </si>
  <si>
    <t>Scania - Municipal Check - Water Meter Replacement</t>
  </si>
  <si>
    <t>JC10631</t>
  </si>
  <si>
    <t>2026-04-16 14:38:27</t>
  </si>
  <si>
    <t>2026-04-23 15:27:25</t>
  </si>
  <si>
    <t>QU3555</t>
  </si>
  <si>
    <t>Sidwell</t>
  </si>
  <si>
    <t>Stock Sale - 3PH Electrical Meter</t>
  </si>
  <si>
    <t>2026-04-20 00:00:00</t>
  </si>
  <si>
    <t>QRY10217</t>
  </si>
  <si>
    <t>2026-04-16 15:37:15</t>
  </si>
  <si>
    <t>2026-04-21 09:07:52</t>
  </si>
  <si>
    <t>QU3556</t>
  </si>
  <si>
    <t>Mabovula Butchery KWY (Pty) Ltd</t>
  </si>
  <si>
    <t>CS10170</t>
  </si>
  <si>
    <t>Mabovula Butchery</t>
  </si>
  <si>
    <t>Mabovula Butchery - Additional Electrical Meter</t>
  </si>
  <si>
    <t>2026-05-17 00:00:00</t>
  </si>
  <si>
    <t>2026-04-17 08:52:21</t>
  </si>
  <si>
    <t>2026-05-28 10:54:50</t>
  </si>
  <si>
    <t>QU3557</t>
  </si>
  <si>
    <t>Captivate Investment Trust</t>
  </si>
  <si>
    <t>Vroom Industrial</t>
  </si>
  <si>
    <t>Vroom Industrial - Unit 3&amp;4 - Electrical Meter Replacement</t>
  </si>
  <si>
    <t>JC10494</t>
  </si>
  <si>
    <t>2026-04-17 13:23:17</t>
  </si>
  <si>
    <t>2026-04-21 12:21:20</t>
  </si>
  <si>
    <t>QU3558</t>
  </si>
  <si>
    <t>GONUBIE MOTORS CC</t>
  </si>
  <si>
    <t>Gonubie Shell Garage</t>
  </si>
  <si>
    <t>Gonubie Motors - Municipal Check Meter (Electrical) - Option 1 (Solid CTs)</t>
  </si>
  <si>
    <t>JC10685</t>
  </si>
  <si>
    <t>2026-04-20 10:03:35</t>
  </si>
  <si>
    <t>2026-04-21 11:23:47</t>
  </si>
  <si>
    <t>QU3559</t>
  </si>
  <si>
    <t>Gonubie Motors - Municipal Check Meter (Electrical) - Option 2 (Split CTs)</t>
  </si>
  <si>
    <t>2026-04-20 10:04:25</t>
  </si>
  <si>
    <t>2026-04-21 11:23:45</t>
  </si>
  <si>
    <t>QU3560</t>
  </si>
  <si>
    <t>Marine Promenade</t>
  </si>
  <si>
    <t>Marine Promenade - Meter Installations (+ New CT Meter)</t>
  </si>
  <si>
    <t>JC10251</t>
  </si>
  <si>
    <t>2026-04-20 11:13:23</t>
  </si>
  <si>
    <t>2026-05-21 11:40:41</t>
  </si>
  <si>
    <t>QU3561</t>
  </si>
  <si>
    <t>Epping Works - Smart Electrical Metering (Convert Electrical to Prepaid)</t>
  </si>
  <si>
    <t>2026-06-13 00:00:00</t>
  </si>
  <si>
    <t>JC10645</t>
  </si>
  <si>
    <t>2026-04-21 10:00:00</t>
  </si>
  <si>
    <t>2026-05-14 15:34:09</t>
  </si>
  <si>
    <t>QU3563</t>
  </si>
  <si>
    <t>Transbrikpark - Unit 09A - Water Meter Replacement</t>
  </si>
  <si>
    <t>2026-05-21 00:00:00</t>
  </si>
  <si>
    <t>JC10705</t>
  </si>
  <si>
    <t>2026-04-21 10:47:25</t>
  </si>
  <si>
    <t>2026-04-22 12:21:41</t>
  </si>
  <si>
    <t>QU3564</t>
  </si>
  <si>
    <t>2 McAdams Street</t>
  </si>
  <si>
    <t>2 McAdam - Municipal Check - Water Meter Replacement</t>
  </si>
  <si>
    <t>JC10704</t>
  </si>
  <si>
    <t>2026-04-21 10:49:12</t>
  </si>
  <si>
    <t>2026-04-22 11:59:19</t>
  </si>
  <si>
    <t>QU3565</t>
  </si>
  <si>
    <t>Schenck Enterprises</t>
  </si>
  <si>
    <t>Unnamed Road, Melani, https://maps.app.goo.gl/CTfPVFVHfe2s5PC39</t>
  </si>
  <si>
    <t>Schenck Enterpises - Full Load Meter</t>
  </si>
  <si>
    <t>QRY10219</t>
  </si>
  <si>
    <t>2026-04-21 10:55:15</t>
  </si>
  <si>
    <t>2026-04-23 16:25:39</t>
  </si>
  <si>
    <t>QU3566</t>
  </si>
  <si>
    <t>St Francis Links - Smart Water and Electrical Metering</t>
  </si>
  <si>
    <t>2026-05-22 00:00:00</t>
  </si>
  <si>
    <t>JC10693</t>
  </si>
  <si>
    <t>2026-04-22 09:30:15</t>
  </si>
  <si>
    <t>2026-04-28 13:26:52</t>
  </si>
  <si>
    <t>QU3567</t>
  </si>
  <si>
    <t>Kings Mall - Shop 36 - Water Meter Replacement</t>
  </si>
  <si>
    <t>JC10708</t>
  </si>
  <si>
    <t>2026-04-22 10:28:54</t>
  </si>
  <si>
    <t>2026-05-07 14:45:01</t>
  </si>
  <si>
    <t>QU3568</t>
  </si>
  <si>
    <t>Vimba Trading (Pty) Ltd</t>
  </si>
  <si>
    <t>Russell's - Tenant Meter (Electrical)</t>
  </si>
  <si>
    <t>JC10710</t>
  </si>
  <si>
    <t>2026-04-22 10:31:25</t>
  </si>
  <si>
    <t>2026-04-23 12:37:24</t>
  </si>
  <si>
    <t>QU3569</t>
  </si>
  <si>
    <t>CK6 Electrical - Stock Sale - CT Meter</t>
  </si>
  <si>
    <t>QRY10218</t>
  </si>
  <si>
    <t>2026-04-22 12:31:00</t>
  </si>
  <si>
    <t>2026-04-22 14:16:22</t>
  </si>
  <si>
    <t>QU3570</t>
  </si>
  <si>
    <t>Stock Sale - Pit Antenna</t>
  </si>
  <si>
    <t>QRY10220</t>
  </si>
  <si>
    <t>2026-04-22 12:33:47</t>
  </si>
  <si>
    <t>2026-04-22 14:21:28</t>
  </si>
  <si>
    <t>QU3571</t>
  </si>
  <si>
    <t>Elroi Trading</t>
  </si>
  <si>
    <t>6894 Marais Road</t>
  </si>
  <si>
    <t>QRY10221</t>
  </si>
  <si>
    <t>2026-04-22 12:35:42</t>
  </si>
  <si>
    <t>2026-04-23 14:27:16</t>
  </si>
  <si>
    <t>QU3572</t>
  </si>
  <si>
    <t>Crossways Farm Village</t>
  </si>
  <si>
    <t>Stock Sale - Single-Phase Meters</t>
  </si>
  <si>
    <t>QRY10222</t>
  </si>
  <si>
    <t>2026-04-22 12:38:01</t>
  </si>
  <si>
    <t>2026-06-01 10:25:21</t>
  </si>
  <si>
    <t>QU3573</t>
  </si>
  <si>
    <t>40 Eagle St - Pepkor - Water Meter Replacement</t>
  </si>
  <si>
    <t>2026-05-28 00:00:00</t>
  </si>
  <si>
    <t>2026-06-27 00:00:00</t>
  </si>
  <si>
    <t>JC10037</t>
  </si>
  <si>
    <t>2026-04-22 12:42:05</t>
  </si>
  <si>
    <t>2026-05-28 11:25:10</t>
  </si>
  <si>
    <t>QU3574</t>
  </si>
  <si>
    <t>Food Lovers Montana - Meter 3 - Water Meter Replacement</t>
  </si>
  <si>
    <t>JC10687</t>
  </si>
  <si>
    <t>2026-04-22 13:00:45</t>
  </si>
  <si>
    <t>2026-05-05 11:42:24</t>
  </si>
  <si>
    <t>QU3575</t>
  </si>
  <si>
    <t>Solly Zaslanksy</t>
  </si>
  <si>
    <t>The Lumiere</t>
  </si>
  <si>
    <t>The Lumiere - Smart Electrical Metering</t>
  </si>
  <si>
    <t>2026-05-23 00:00:00</t>
  </si>
  <si>
    <t>JC10722</t>
  </si>
  <si>
    <t>2026-04-23 11:32:06</t>
  </si>
  <si>
    <t>2026-05-19 10:48:34</t>
  </si>
  <si>
    <t>QU3576</t>
  </si>
  <si>
    <t>Robhoek Farm</t>
  </si>
  <si>
    <t>X53M+VQF Woodlands</t>
  </si>
  <si>
    <t>Robhoek Fram - Smart Electrical Metering</t>
  </si>
  <si>
    <t>JC10725</t>
  </si>
  <si>
    <t>2026-04-23 11:51:32</t>
  </si>
  <si>
    <t>2026-05-11 14:29:58</t>
  </si>
  <si>
    <t>QU3577</t>
  </si>
  <si>
    <t>Raumix Donkerhoek</t>
  </si>
  <si>
    <t>Raumix Donkerhoek - Smart Electrical Metering</t>
  </si>
  <si>
    <t>JC10622</t>
  </si>
  <si>
    <t>2026-04-28 10:14:55</t>
  </si>
  <si>
    <t>2026-05-05 10:56:01</t>
  </si>
  <si>
    <t>QU3578</t>
  </si>
  <si>
    <t>LJ Plumbing</t>
  </si>
  <si>
    <t>LJ Plumbing - Smart Water Metering</t>
  </si>
  <si>
    <t>JC10736</t>
  </si>
  <si>
    <t>2026-04-28 10:22:46</t>
  </si>
  <si>
    <t>2026-04-28 12:05:50</t>
  </si>
  <si>
    <t>QU3579</t>
  </si>
  <si>
    <t>St Francis Links - Bulk Water Meter Pricing</t>
  </si>
  <si>
    <t>2026-04-28 11:32:37</t>
  </si>
  <si>
    <t>2026-04-28 13:27:29</t>
  </si>
  <si>
    <t>QU3580</t>
  </si>
  <si>
    <t>Sprinklers for Africa</t>
  </si>
  <si>
    <t>1 Theron Road</t>
  </si>
  <si>
    <t>Sprinklers for Africa - DN20 Water Meter</t>
  </si>
  <si>
    <t>QRY10223</t>
  </si>
  <si>
    <t>2026-04-28 15:18:50</t>
  </si>
  <si>
    <t>2026-04-29 10:32:45</t>
  </si>
  <si>
    <t>QU3581</t>
  </si>
  <si>
    <t>Podica Consulting (Pvt) Ltd</t>
  </si>
  <si>
    <t>Smart Water Metering</t>
  </si>
  <si>
    <t>QRY10224</t>
  </si>
  <si>
    <t>2026-04-28 16:01:39</t>
  </si>
  <si>
    <t>2026-04-29 12:53:22</t>
  </si>
  <si>
    <t>QU3582</t>
  </si>
  <si>
    <t>Kwandwe Private Game Reserve</t>
  </si>
  <si>
    <t>Kwandwe - Smart Electrical Metering</t>
  </si>
  <si>
    <t>JC10737</t>
  </si>
  <si>
    <t>2026-04-29 10:19:36</t>
  </si>
  <si>
    <t>2026-04-29 14:07:21</t>
  </si>
  <si>
    <t>QU3583</t>
  </si>
  <si>
    <t>274 Kaleidoscope - Additional Single Phase Meter - Jack's Bagels (Supply and Onboard)</t>
  </si>
  <si>
    <t>JC10729</t>
  </si>
  <si>
    <t>2026-04-29 11:30:44</t>
  </si>
  <si>
    <t>2026-05-14 15:50:36</t>
  </si>
  <si>
    <t>QU3584</t>
  </si>
  <si>
    <t>Banbury Park Body Corporate (John Ilengou)</t>
  </si>
  <si>
    <t>Banbury Park</t>
  </si>
  <si>
    <t>Banbury Park - Smart Electrical Metering</t>
  </si>
  <si>
    <t>JC10678</t>
  </si>
  <si>
    <t>2026-04-29 12:07:02</t>
  </si>
  <si>
    <t>2026-05-06 11:53:24</t>
  </si>
  <si>
    <t>QU3585</t>
  </si>
  <si>
    <t>1 on Breda</t>
  </si>
  <si>
    <t>1 on Breda,</t>
  </si>
  <si>
    <t>1 on Breda - Smart Electrical Metering</t>
  </si>
  <si>
    <t>JC10594</t>
  </si>
  <si>
    <t>2026-04-30 09:45:14</t>
  </si>
  <si>
    <t>2026-05-08 15:48:12</t>
  </si>
  <si>
    <t>QU3586</t>
  </si>
  <si>
    <t>High Street - Simons House - Water Meter Replacement</t>
  </si>
  <si>
    <t>2026-05-30 00:00:00</t>
  </si>
  <si>
    <t>JC10767</t>
  </si>
  <si>
    <t>2026-04-30 10:07:34</t>
  </si>
  <si>
    <t>2026-04-30 10:11:50</t>
  </si>
  <si>
    <t>QU3587</t>
  </si>
  <si>
    <t>High Street - PK Cell Engineers + Pep Stores - Water Meter Replacements</t>
  </si>
  <si>
    <t>JC10768</t>
  </si>
  <si>
    <t>2026-04-30 10:39:55</t>
  </si>
  <si>
    <t>2026-04-30 10:43:58</t>
  </si>
  <si>
    <t>QU3588</t>
  </si>
  <si>
    <t>76 Madeira - Russels - Water Meter Replacement</t>
  </si>
  <si>
    <t>JC10608</t>
  </si>
  <si>
    <t>2026-04-30 11:06:57</t>
  </si>
  <si>
    <t>2026-04-30 11:27:37</t>
  </si>
  <si>
    <t>QU3589</t>
  </si>
  <si>
    <t>PEC Place - Flat 1 - Water Meter Replacements</t>
  </si>
  <si>
    <t>JC10770</t>
  </si>
  <si>
    <t>2026-04-30 11:23:40</t>
  </si>
  <si>
    <t>2026-04-30 11:25:52</t>
  </si>
  <si>
    <t>QU3590</t>
  </si>
  <si>
    <t>PEC Place - Garden Line - Water Meter Replacements</t>
  </si>
  <si>
    <t>2026-04-30 11:25:18</t>
  </si>
  <si>
    <t>2026-04-30 11:25:59</t>
  </si>
  <si>
    <t>QU3591</t>
  </si>
  <si>
    <t>76 Madeira - Power - Water Meter Replacement</t>
  </si>
  <si>
    <t>2026-04-30 11:27:25</t>
  </si>
  <si>
    <t>2026-04-30 11:27:31</t>
  </si>
  <si>
    <t>QU3592</t>
  </si>
  <si>
    <t>QRY10226</t>
  </si>
  <si>
    <t>2026-04-30 14:02:44</t>
  </si>
  <si>
    <t>2026-05-04 08:15:48</t>
  </si>
  <si>
    <t>QU3593</t>
  </si>
  <si>
    <t>Stock Sale - Bulk Water Meters</t>
  </si>
  <si>
    <t>QRY10227</t>
  </si>
  <si>
    <t>2026-04-30 14:31:57</t>
  </si>
  <si>
    <t>2026-04-30 14:41:54</t>
  </si>
  <si>
    <t>QU3594</t>
  </si>
  <si>
    <t>Stock Sale - Metcom CT Meter</t>
  </si>
  <si>
    <t>2026-05-04 00:00:00</t>
  </si>
  <si>
    <t>2026-06-03 00:00:00</t>
  </si>
  <si>
    <t>QRY10228</t>
  </si>
  <si>
    <t>2026-05-04 16:05:19</t>
  </si>
  <si>
    <t>2026-05-05 11:46:22</t>
  </si>
  <si>
    <t>QU3595</t>
  </si>
  <si>
    <t>Raumix Aggregates Rosslyn Quarry</t>
  </si>
  <si>
    <t>Rosslyn Quarry - Smart Electrical Metering</t>
  </si>
  <si>
    <t>JC10623</t>
  </si>
  <si>
    <t>2026-05-05 08:53:03</t>
  </si>
  <si>
    <t>2026-05-05 11:32:29</t>
  </si>
  <si>
    <t>QU3596</t>
  </si>
  <si>
    <t>Rossway Quarry Olievenhoutbosch</t>
  </si>
  <si>
    <t>Rossway Quarry Olievenhoutbosch - Smart Electrical Metering</t>
  </si>
  <si>
    <t>JC10620</t>
  </si>
  <si>
    <t>2026-05-05 08:57:01</t>
  </si>
  <si>
    <t>2026-05-05 10:44:49</t>
  </si>
  <si>
    <t>QU3597</t>
  </si>
  <si>
    <t>East Cape Farms (Pty)Ltd</t>
  </si>
  <si>
    <t>Xuka Drift</t>
  </si>
  <si>
    <t>Xuka Drift - Smart Electrical Metering</t>
  </si>
  <si>
    <t>JC10775</t>
  </si>
  <si>
    <t>2026-05-05 09:10:17</t>
  </si>
  <si>
    <t>2026-05-05 11:15:47</t>
  </si>
  <si>
    <t>QU3598</t>
  </si>
  <si>
    <t>Foodlovers Rooihuiskraal</t>
  </si>
  <si>
    <t>Rooihuiskraal - Municipal Check - Water Meter Replacement</t>
  </si>
  <si>
    <t>JC10735</t>
  </si>
  <si>
    <t>2026-05-05 09:26:59</t>
  </si>
  <si>
    <t>2026-05-05 11:42:28</t>
  </si>
  <si>
    <t>QU3599</t>
  </si>
  <si>
    <t>Croft Street - House and Flat - Water Meter Replacement</t>
  </si>
  <si>
    <t>2026-05-19 00:00:00</t>
  </si>
  <si>
    <t>2026-06-18 00:00:00</t>
  </si>
  <si>
    <t>2026-05-05 09:32:40</t>
  </si>
  <si>
    <t>2026-05-19 13:52:11</t>
  </si>
  <si>
    <t>QU3600</t>
  </si>
  <si>
    <t>PO-0075 Sunshine Mall - PV Metering</t>
  </si>
  <si>
    <t>2026-05-05 09:38:05</t>
  </si>
  <si>
    <t>2026-05-28 09:27:31</t>
  </si>
  <si>
    <t>QU3601</t>
  </si>
  <si>
    <t>Kings Mall - Shop 37 - Water Meter Replacements</t>
  </si>
  <si>
    <t>JC10787</t>
  </si>
  <si>
    <t>2026-05-05 10:26:26</t>
  </si>
  <si>
    <t>2026-05-07 14:54:02</t>
  </si>
  <si>
    <t>QU3602</t>
  </si>
  <si>
    <t>3 Factory Rd - Municipal Check - Water Meter Replacement</t>
  </si>
  <si>
    <t>JC10763</t>
  </si>
  <si>
    <t>2026-05-05 10:31:16</t>
  </si>
  <si>
    <t>2026-05-07 14:57:55</t>
  </si>
  <si>
    <t>QU3603</t>
  </si>
  <si>
    <t>PO76229 - 32 Dyer St - Unit 04 - Spacemakers - Water meter Replacement</t>
  </si>
  <si>
    <t>JC10732</t>
  </si>
  <si>
    <t>2026-05-05 10:32:58</t>
  </si>
  <si>
    <t>2026-05-15 10:15:54</t>
  </si>
  <si>
    <t>QU3604</t>
  </si>
  <si>
    <t>PO-0444 Stock Sale - DN50 Water Meters</t>
  </si>
  <si>
    <t>QRY10229</t>
  </si>
  <si>
    <t>2026-05-05 12:00:00</t>
  </si>
  <si>
    <t>2026-05-20 14:29:53</t>
  </si>
  <si>
    <t>QU3605</t>
  </si>
  <si>
    <t>G461 Stock Sale - CT Meter</t>
  </si>
  <si>
    <t>2026-05-06 00:00:00</t>
  </si>
  <si>
    <t>2026-06-05 00:00:00</t>
  </si>
  <si>
    <t>QRY10230</t>
  </si>
  <si>
    <t>2026-05-06 08:34:05</t>
  </si>
  <si>
    <t>2026-05-07 10:21:35</t>
  </si>
  <si>
    <t>QU3606</t>
  </si>
  <si>
    <t>COPY 8483 FOR INVOICING - PO76124 - Kings Mall - Shop 02 - Water Meter Replacement</t>
  </si>
  <si>
    <t>JC10141</t>
  </si>
  <si>
    <t>2026-05-06 10:25:57</t>
  </si>
  <si>
    <t>2026-05-07 12:46:26</t>
  </si>
  <si>
    <t>QU3607</t>
  </si>
  <si>
    <t>2026-06-07 00:00:00</t>
  </si>
  <si>
    <t>2026-05-07 10:16:18</t>
  </si>
  <si>
    <t>2026-05-11 08:59:52</t>
  </si>
  <si>
    <t>QU3608</t>
  </si>
  <si>
    <t>Waterpump Services</t>
  </si>
  <si>
    <t>420 Moot Street</t>
  </si>
  <si>
    <t>Stock Sale - DN50 Bulk Water Meter</t>
  </si>
  <si>
    <t>2026-06-11 00:00:00</t>
  </si>
  <si>
    <t>QRY10231</t>
  </si>
  <si>
    <t>2026-05-07 10:25:39</t>
  </si>
  <si>
    <t>2026-05-12 11:30:25</t>
  </si>
  <si>
    <t>QU3609</t>
  </si>
  <si>
    <t>Kings Mall - Shop 01 - Pick n Pay - Water Meter Replacement</t>
  </si>
  <si>
    <t>JC10794</t>
  </si>
  <si>
    <t>2026-05-07 14:34:46</t>
  </si>
  <si>
    <t>2026-05-12 11:40:44</t>
  </si>
  <si>
    <t>QU3610</t>
  </si>
  <si>
    <t>Gonubie Centre - Flat 03 &amp; Flat 11 - Water Meter Replacements</t>
  </si>
  <si>
    <t>JC10781</t>
  </si>
  <si>
    <t>2026-05-07 14:41:08</t>
  </si>
  <si>
    <t>2026-05-12 14:40:55</t>
  </si>
  <si>
    <t>QU3611</t>
  </si>
  <si>
    <t>2026-05-08 12:06:43</t>
  </si>
  <si>
    <t>2026-05-08 12:11:37</t>
  </si>
  <si>
    <t>QU3612</t>
  </si>
  <si>
    <t>2026-05-11 00:00:00</t>
  </si>
  <si>
    <t>2026-06-10 00:00:00</t>
  </si>
  <si>
    <t>QRY10233</t>
  </si>
  <si>
    <t>2026-05-11 12:29:12</t>
  </si>
  <si>
    <t>2026-05-11 12:57:45</t>
  </si>
  <si>
    <t>QU3613</t>
  </si>
  <si>
    <t>45 Richard Carte</t>
  </si>
  <si>
    <t>45 Richard Carter Drive, Mobeni, KZN</t>
  </si>
  <si>
    <t>45 Richard Carte - Smart Water Metering</t>
  </si>
  <si>
    <t>JC10368</t>
  </si>
  <si>
    <t>2026-05-11 13:10:28</t>
  </si>
  <si>
    <t>2026-05-12 14:36:01</t>
  </si>
  <si>
    <t>QU3614</t>
  </si>
  <si>
    <t>AGT Electrical Solutions</t>
  </si>
  <si>
    <t>AGT Electrical</t>
  </si>
  <si>
    <t>765 Flange Street</t>
  </si>
  <si>
    <t>PO-0696 - Kings Mall - HVAC + Gym - Electrical Metering</t>
  </si>
  <si>
    <t>QRY10234</t>
  </si>
  <si>
    <t>2026-05-11 14:43:30</t>
  </si>
  <si>
    <t>2026-05-29 15:24:12</t>
  </si>
  <si>
    <t>QU3617</t>
  </si>
  <si>
    <t>Inofort (Pty) Ltd [Maitland Business Exchange]</t>
  </si>
  <si>
    <t>Maitland Business Exchange</t>
  </si>
  <si>
    <t>Maitland Business Exchange, Maitland</t>
  </si>
  <si>
    <t>Maitland Business Exchange - Stock Sale - DN20 Water Meter</t>
  </si>
  <si>
    <t>QRY10232</t>
  </si>
  <si>
    <t>2026-05-12 08:46:17</t>
  </si>
  <si>
    <t>2026-05-12 12:40:53</t>
  </si>
  <si>
    <t>QU3618</t>
  </si>
  <si>
    <t>Whitlam Trading CC t/a Sondelani Power Trade</t>
  </si>
  <si>
    <t>Sondelani Power Trade</t>
  </si>
  <si>
    <t>Sondelani Power Trade - Warehouse + Incomer - Smart Electrical Metering</t>
  </si>
  <si>
    <t>JC10792</t>
  </si>
  <si>
    <t>2026-05-12 08:52:03</t>
  </si>
  <si>
    <t>2026-05-13 16:12:39</t>
  </si>
  <si>
    <t>QU3619</t>
  </si>
  <si>
    <t>InoFort Proprietary Limited [Maitland Storage]</t>
  </si>
  <si>
    <t>Maitland Storage</t>
  </si>
  <si>
    <t>Maitland Storage, 547 Voortrekker Rd, Maitland, Cape Town, 7404 (Sundance Damons)</t>
  </si>
  <si>
    <t>Maitland Storage - Single Phase Meters (Prepaid) - Option 1 ( Modems)</t>
  </si>
  <si>
    <t>2026-06-12 00:00:00</t>
  </si>
  <si>
    <t>JC10818</t>
  </si>
  <si>
    <t>2026-05-13 09:28:50</t>
  </si>
  <si>
    <t>2026-05-14 10:43:28</t>
  </si>
  <si>
    <t>QU3620</t>
  </si>
  <si>
    <t>Maitland Storage - Single Phase Meters (Prepaid) - Option 2 ( Data Concentrator)</t>
  </si>
  <si>
    <t>2026-05-13 10:00:37</t>
  </si>
  <si>
    <t>2026-05-20 13:59:28</t>
  </si>
  <si>
    <t>QU3621</t>
  </si>
  <si>
    <t>Erand Gardens - Erven 762/763</t>
  </si>
  <si>
    <t>Erand Gardens - Smart Water and Electrical Metering (Amended)</t>
  </si>
  <si>
    <t>JC10795</t>
  </si>
  <si>
    <t>2026-05-13 10:19:27</t>
  </si>
  <si>
    <t>2026-05-21 12:16:46</t>
  </si>
  <si>
    <t>QU3622</t>
  </si>
  <si>
    <t>PO-0100 Peppergrove Mall - PV Metering</t>
  </si>
  <si>
    <t>2026-05-13 14:52:49</t>
  </si>
  <si>
    <t>2026-05-19 09:10:18</t>
  </si>
  <si>
    <t>QU3623</t>
  </si>
  <si>
    <t>Eastleigh Exchange - Rewiring CTs</t>
  </si>
  <si>
    <t>2026-05-14 11:19:36</t>
  </si>
  <si>
    <t>2026-05-14 11:20:59</t>
  </si>
  <si>
    <t>QU3624</t>
  </si>
  <si>
    <t>Allandale Exchange - Prepaid Signal Improvement</t>
  </si>
  <si>
    <t>2026-06-14 00:00:00</t>
  </si>
  <si>
    <t>JC10827</t>
  </si>
  <si>
    <t>2026-05-15 12:54:40</t>
  </si>
  <si>
    <t>2026-05-18 08:59:02</t>
  </si>
  <si>
    <t>QU3625</t>
  </si>
  <si>
    <t>Superspar Spargs Butterworh</t>
  </si>
  <si>
    <t>Sauer St, Gcuwa, 4960</t>
  </si>
  <si>
    <t>Superspar Spargs - Smart Water and Electrical metering</t>
  </si>
  <si>
    <t>2026-05-18 00:00:00</t>
  </si>
  <si>
    <t>2026-06-17 00:00:00</t>
  </si>
  <si>
    <t>JC10556</t>
  </si>
  <si>
    <t>2026-05-18 08:37:04</t>
  </si>
  <si>
    <t>2026-05-18 09:49:08</t>
  </si>
  <si>
    <t>QU3626</t>
  </si>
  <si>
    <t>Hewetts Business Park</t>
  </si>
  <si>
    <t>Hewetts - Prepaid Signal Improvement</t>
  </si>
  <si>
    <t>JC10653</t>
  </si>
  <si>
    <t>2026-05-18 09:00:40</t>
  </si>
  <si>
    <t>2026-05-19 12:34:07</t>
  </si>
  <si>
    <t>QU3627</t>
  </si>
  <si>
    <t>Inofort Proprietary Limited [Wynberg Workshops Block C]</t>
  </si>
  <si>
    <t>Wynberg Workshops Block C</t>
  </si>
  <si>
    <t>Wynberg Workshops Block C - Prepaid Signal Improvement</t>
  </si>
  <si>
    <t>JC10467</t>
  </si>
  <si>
    <t>2026-05-18 09:05:12</t>
  </si>
  <si>
    <t>2026-05-19 12:10:16</t>
  </si>
  <si>
    <t>QU3628</t>
  </si>
  <si>
    <t>Inofort Proprietary Limited [Wynberg Workshops Block B]</t>
  </si>
  <si>
    <t>Wynberg Workshops Block B</t>
  </si>
  <si>
    <t>Wynberg Workshops Block B - Prepaid Signal Improvement</t>
  </si>
  <si>
    <t>JC10466</t>
  </si>
  <si>
    <t>2026-05-18 09:07:59</t>
  </si>
  <si>
    <t>2026-05-19 12:09:44</t>
  </si>
  <si>
    <t>QU3629</t>
  </si>
  <si>
    <t>Wetton Works</t>
  </si>
  <si>
    <t>Wetton Works - Prepaid Signal Improvement</t>
  </si>
  <si>
    <t>JC10652</t>
  </si>
  <si>
    <t>2026-05-18 09:09:01</t>
  </si>
  <si>
    <t>2026-05-19 12:33:30</t>
  </si>
  <si>
    <t>QU3630</t>
  </si>
  <si>
    <t>2026-05-19 09:28:19</t>
  </si>
  <si>
    <t>2026-05-28 16:32:46</t>
  </si>
  <si>
    <t>QU3632</t>
  </si>
  <si>
    <t>Wild Spirit Lodge</t>
  </si>
  <si>
    <t>Wild Spirit Lodge - Smart Electrical Metering</t>
  </si>
  <si>
    <t>JC10832</t>
  </si>
  <si>
    <t>2026-05-19 10:30:31</t>
  </si>
  <si>
    <t>2026-05-20 12:02:39</t>
  </si>
  <si>
    <t>QU3633</t>
  </si>
  <si>
    <t>Island Works - Modem Replacements (Supply only)</t>
  </si>
  <si>
    <t>2026-06-19 00:00:00</t>
  </si>
  <si>
    <t>JC10765</t>
  </si>
  <si>
    <t>2026-05-19 10:44:41</t>
  </si>
  <si>
    <t>2026-05-20 14:42:20</t>
  </si>
  <si>
    <t>QU3634</t>
  </si>
  <si>
    <t>Norman Wallis</t>
  </si>
  <si>
    <t>Norman Wallis (Commercial Property) - Smart Electrical Metering</t>
  </si>
  <si>
    <t>JC10836</t>
  </si>
  <si>
    <t>2026-05-19 10:47:55</t>
  </si>
  <si>
    <t>2026-05-26 08:46:46</t>
  </si>
  <si>
    <t>QU3635</t>
  </si>
  <si>
    <t>Spearhead Business Park</t>
  </si>
  <si>
    <t>Spearhead Business Park - Smart Electrical Metering</t>
  </si>
  <si>
    <t>JC10715</t>
  </si>
  <si>
    <t>2026-05-19 11:22:44</t>
  </si>
  <si>
    <t>2026-05-22 12:25:08</t>
  </si>
  <si>
    <t>QU3636</t>
  </si>
  <si>
    <t>Marconi Centre</t>
  </si>
  <si>
    <t>Marconi Centre - Smart Water and Electrical Metering</t>
  </si>
  <si>
    <t>JC10717</t>
  </si>
  <si>
    <t>2026-05-20 11:48:54</t>
  </si>
  <si>
    <t>2026-05-22 12:23:12</t>
  </si>
  <si>
    <t>QU3637</t>
  </si>
  <si>
    <t>Maitland Storage - Single Phase Meters (Prepaid) - Amended</t>
  </si>
  <si>
    <t>2026-05-20 14:00:07</t>
  </si>
  <si>
    <t>2026-05-20 14:03:22</t>
  </si>
  <si>
    <t>QU3638</t>
  </si>
  <si>
    <t>Summit Property Group</t>
  </si>
  <si>
    <t>Ingwe Road</t>
  </si>
  <si>
    <t>17 - 19 Ingwe Road</t>
  </si>
  <si>
    <t>Ingwe Road - Smart Water and Electrical Metering</t>
  </si>
  <si>
    <t>2026-06-20 00:00:00</t>
  </si>
  <si>
    <t>JC10766</t>
  </si>
  <si>
    <t>2026-05-21 09:42:29</t>
  </si>
  <si>
    <t>2026-05-26 09:01:31</t>
  </si>
  <si>
    <t>QU3639</t>
  </si>
  <si>
    <t>PO 76328 Nelspruit City Centre - Meter Installation Corrections</t>
  </si>
  <si>
    <t>2026-05-21 09:51:16</t>
  </si>
  <si>
    <t>2026-05-22 14:16:38</t>
  </si>
  <si>
    <t>QU3640</t>
  </si>
  <si>
    <t>4 Paws Inn</t>
  </si>
  <si>
    <t>4 Paws Inn - Smart Water and Electrical Metering</t>
  </si>
  <si>
    <t>JC10727</t>
  </si>
  <si>
    <t>2026-05-21 09:56:27</t>
  </si>
  <si>
    <t>2026-05-22 12:20:55</t>
  </si>
  <si>
    <t>QU3641</t>
  </si>
  <si>
    <t>Imbono Architects</t>
  </si>
  <si>
    <t>53 Prince Alfred Street</t>
  </si>
  <si>
    <t>Imbono Architects - Stock Sale - DN40 Water Meter</t>
  </si>
  <si>
    <t>QRY10235</t>
  </si>
  <si>
    <t>2026-05-21 11:11:31</t>
  </si>
  <si>
    <t>2026-05-21 12:42:47</t>
  </si>
  <si>
    <t>QU3642</t>
  </si>
  <si>
    <t>Silver Solutions 448CC T/A The Plumber Man</t>
  </si>
  <si>
    <t>17 Golf Road</t>
  </si>
  <si>
    <t>The Plumber Man - Stock Sale - DN40 Water Meter</t>
  </si>
  <si>
    <t>QRY10236</t>
  </si>
  <si>
    <t>2026-05-21 11:17:18</t>
  </si>
  <si>
    <t>2026-05-26 09:56:24</t>
  </si>
  <si>
    <t>QU3643</t>
  </si>
  <si>
    <t>Stock Sale - RS485 Comms Module</t>
  </si>
  <si>
    <t>QRY10237</t>
  </si>
  <si>
    <t>2026-05-21 11:26:27</t>
  </si>
  <si>
    <t>2026-05-21 12:44:48</t>
  </si>
  <si>
    <t>QU3644</t>
  </si>
  <si>
    <t>Bonitas Office Park - Smart Electrical Metering (DC)</t>
  </si>
  <si>
    <t>2026-05-21 16:02:30</t>
  </si>
  <si>
    <t>2026-05-25 14:32:29</t>
  </si>
  <si>
    <t>QU3645</t>
  </si>
  <si>
    <t>Apex Park - Smart Electrical metering</t>
  </si>
  <si>
    <t>2026-05-21 16:23:36</t>
  </si>
  <si>
    <t>2026-05-22 12:21:36</t>
  </si>
  <si>
    <t>QU3647</t>
  </si>
  <si>
    <t>The Arcade</t>
  </si>
  <si>
    <t>The Arcade, 30 1st Ave, Fish Hoek, Cape Town, 7974 (Melissa)</t>
  </si>
  <si>
    <t>The Arcade - Smart Water and Electrical Metering</t>
  </si>
  <si>
    <t>2026-06-21 00:00:00</t>
  </si>
  <si>
    <t>JC10719</t>
  </si>
  <si>
    <t>2026-05-22 10:02:58</t>
  </si>
  <si>
    <t>2026-05-22 14:08:32</t>
  </si>
  <si>
    <t>QU3648</t>
  </si>
  <si>
    <t>Die Anker - Stock Sale - 3PH Meter</t>
  </si>
  <si>
    <t>QRY10239</t>
  </si>
  <si>
    <t>2026-05-22 13:10:58</t>
  </si>
  <si>
    <t>2026-05-25 14:16:22</t>
  </si>
  <si>
    <t>QU3649</t>
  </si>
  <si>
    <t>Werda Shop 11 - Stock Sale - 3PH Meter</t>
  </si>
  <si>
    <t>QRY10240</t>
  </si>
  <si>
    <t>2026-05-22 13:12:04</t>
  </si>
  <si>
    <t>2026-05-25 14:16:15</t>
  </si>
  <si>
    <t>QU3650</t>
  </si>
  <si>
    <t>Prometer</t>
  </si>
  <si>
    <t>2203 Pompom Place</t>
  </si>
  <si>
    <t>Prometer - Stock Sale - DN50 Water Meters</t>
  </si>
  <si>
    <t>QRY10238</t>
  </si>
  <si>
    <t>2026-05-25 09:04:35</t>
  </si>
  <si>
    <t>2026-05-25 14:28:17</t>
  </si>
  <si>
    <t>QU3651</t>
  </si>
  <si>
    <t>Fish Hoek - Woolworths Food - Improve Signal - Pit Antenna</t>
  </si>
  <si>
    <t>JC10837</t>
  </si>
  <si>
    <t>2026-05-25 09:29:14</t>
  </si>
  <si>
    <t>2026-05-25 14:27:10</t>
  </si>
  <si>
    <t>QU3652</t>
  </si>
  <si>
    <t>GM Industrial Park - Colin Barris Agencies - Meter Signal Improvement</t>
  </si>
  <si>
    <t>JC10613</t>
  </si>
  <si>
    <t>2026-05-25 09:33:35</t>
  </si>
  <si>
    <t>2026-05-25 14:21:33</t>
  </si>
  <si>
    <t>QU3653</t>
  </si>
  <si>
    <t>Elliot Retail Trade (Pty) Ltd t/a Khowa Spar</t>
  </si>
  <si>
    <t>Melisha Martens</t>
  </si>
  <si>
    <t>Elliot Spar (Khowa)</t>
  </si>
  <si>
    <t>Khowa Spar - Move Full Load Meter</t>
  </si>
  <si>
    <t>JC10845</t>
  </si>
  <si>
    <t>2026-05-25 09:49:15</t>
  </si>
  <si>
    <t>2026-05-27 11:28:09</t>
  </si>
  <si>
    <t>QU3654</t>
  </si>
  <si>
    <t>Technician Call Out - Assess and Correct Bypassed Meters (Unit C07 / C08 / C09 / C12 )</t>
  </si>
  <si>
    <t>JC10797</t>
  </si>
  <si>
    <t>2026-05-25 10:20:42</t>
  </si>
  <si>
    <t>2026-05-25 15:43:10</t>
  </si>
  <si>
    <t>QU3655</t>
  </si>
  <si>
    <t>PO-101324 Stock Sale - Water Meters</t>
  </si>
  <si>
    <t>QRY10242</t>
  </si>
  <si>
    <t>2026-05-25 12:50:53</t>
  </si>
  <si>
    <t>2026-05-26 12:07:08</t>
  </si>
  <si>
    <t>QU3656</t>
  </si>
  <si>
    <t>King Epsilon Investments CC</t>
  </si>
  <si>
    <t>Spar Queenstown</t>
  </si>
  <si>
    <t>Unified Properties - Spar Queenstown</t>
  </si>
  <si>
    <t>Spar Queenstown - Smart Electrical Metering</t>
  </si>
  <si>
    <t>JC10681</t>
  </si>
  <si>
    <t>2026-05-25 15:02:06</t>
  </si>
  <si>
    <t>2026-05-27 08:50:40</t>
  </si>
  <si>
    <t>QU3657</t>
  </si>
  <si>
    <t>Riverside - Smart Electrical Metering</t>
  </si>
  <si>
    <t>QRY10243</t>
  </si>
  <si>
    <t>2026-05-25 15:49:58</t>
  </si>
  <si>
    <t>2026-05-27 09:32:22</t>
  </si>
  <si>
    <t>QU3658</t>
  </si>
  <si>
    <t>Norman Wallis (Commercial Property) - Smart Electrical Metering - Tenant</t>
  </si>
  <si>
    <t>2026-05-26 00:00:00</t>
  </si>
  <si>
    <t>2026-06-25 00:00:00</t>
  </si>
  <si>
    <t>2026-05-26 08:41:53</t>
  </si>
  <si>
    <t>2026-05-28 15:07:30</t>
  </si>
  <si>
    <t>QU3659</t>
  </si>
  <si>
    <t>Evolve Engineering Solutions</t>
  </si>
  <si>
    <t>Kings Mall/Gonubie Junxion - Sub DB Check Meters</t>
  </si>
  <si>
    <t>2026-06-26 00:00:00</t>
  </si>
  <si>
    <t>QRY10244</t>
  </si>
  <si>
    <t>2026-05-27 09:02:14</t>
  </si>
  <si>
    <t>2026-05-27 09:07:41</t>
  </si>
  <si>
    <t>QU3660</t>
  </si>
  <si>
    <t>Eastleigh Exchange - Unit 13</t>
  </si>
  <si>
    <t>JC10855</t>
  </si>
  <si>
    <t>2026-05-27 11:06:09</t>
  </si>
  <si>
    <t>2026-06-01 14:24:27</t>
  </si>
  <si>
    <t>QU3661</t>
  </si>
  <si>
    <t>6-8 Donald - Unit 1F8 - Electrical Check Meter</t>
  </si>
  <si>
    <t>JC10865</t>
  </si>
  <si>
    <t>2026-05-27 11:29:59</t>
  </si>
  <si>
    <t>2026-05-27 11:41:12</t>
  </si>
  <si>
    <t>QU3662</t>
  </si>
  <si>
    <t>Four Arrows Investment 38 (Pty) Ltd</t>
  </si>
  <si>
    <t>Mondeor Medical Centre</t>
  </si>
  <si>
    <t>Mondeor Medical Centre - Prepaid Electrical Meters</t>
  </si>
  <si>
    <t>JC10867</t>
  </si>
  <si>
    <t>2026-05-27 11:40:10</t>
  </si>
  <si>
    <t>2026-06-02 09:53:10</t>
  </si>
  <si>
    <t>QU3664</t>
  </si>
  <si>
    <t>Magaliesview Shopping Centre - STock Sale - DN50</t>
  </si>
  <si>
    <t>QRY10246</t>
  </si>
  <si>
    <t>2026-05-28 12:13:14</t>
  </si>
  <si>
    <t>QU3665</t>
  </si>
  <si>
    <t>The Workshop</t>
  </si>
  <si>
    <t>The Workshop, 1 Rautenbach Rd, Makhanda, 6139</t>
  </si>
  <si>
    <t>Bermuda - Prepaid Single-Phase Meters (Stock)</t>
  </si>
  <si>
    <t>JC10841</t>
  </si>
  <si>
    <t>2026-05-28 15:06:58</t>
  </si>
  <si>
    <t>2026-05-28 15:07:10</t>
  </si>
  <si>
    <t>QU3666</t>
  </si>
  <si>
    <t>Stock Sale - CT Electrical Meter</t>
  </si>
  <si>
    <t>2026-06-28 00:00:00</t>
  </si>
  <si>
    <t>QRY10241</t>
  </si>
  <si>
    <t>2026-05-29 12:32:55</t>
  </si>
  <si>
    <t>2026-05-29 12:54:48</t>
  </si>
  <si>
    <t>QU3667</t>
  </si>
  <si>
    <t>PO-A0902 Stock Sale - Plug-In Modems</t>
  </si>
  <si>
    <t>QRY10247</t>
  </si>
  <si>
    <t>2026-05-29 13:42:09</t>
  </si>
  <si>
    <t>2026-06-02 09:13:01</t>
  </si>
  <si>
    <t>QU3668</t>
  </si>
  <si>
    <t>Eastleigh Exchange - Unit 6C</t>
  </si>
  <si>
    <t>2026-05-29 14:17:30</t>
  </si>
  <si>
    <t>2026-06-01 14:24:31</t>
  </si>
  <si>
    <t>QU3669</t>
  </si>
  <si>
    <t>2026-06-01 00:00:00</t>
  </si>
  <si>
    <t>2026-07-01 00:00:00</t>
  </si>
  <si>
    <t>QRY10248</t>
  </si>
  <si>
    <t>2026-06-01 14:11:44</t>
  </si>
  <si>
    <t>2026-06-01 14:31:44</t>
  </si>
  <si>
    <t>QU3670</t>
  </si>
  <si>
    <t>Envirolec</t>
  </si>
  <si>
    <t>Stock Sale - Grand Works - Electrical Metering (Modem Included)</t>
  </si>
  <si>
    <t>2026-06-02 00:00:00</t>
  </si>
  <si>
    <t>2026-07-02 00:00:00</t>
  </si>
  <si>
    <t>QRY10249</t>
  </si>
  <si>
    <t>2026-06-02 08:30:13</t>
  </si>
  <si>
    <t>2026-06-02 10:15:20</t>
  </si>
  <si>
    <t>QU3671</t>
  </si>
  <si>
    <t>Stock Sale - Grand Works - Electrical Metering (Modem Excluded)</t>
  </si>
  <si>
    <t>Stock Sale</t>
  </si>
  <si>
    <t>Installation</t>
  </si>
  <si>
    <t>Quantity of Meters</t>
  </si>
  <si>
    <t>Quote Type</t>
  </si>
  <si>
    <t>Quote Status</t>
  </si>
  <si>
    <t>Awaiting Acceptance</t>
  </si>
  <si>
    <t>Invoiced</t>
  </si>
  <si>
    <t>Accepted</t>
  </si>
  <si>
    <t>Declined</t>
  </si>
  <si>
    <t>Quote In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</si>
</sst>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\ ###\ ##0"/>
    <numFmt numFmtId="165" formatCode="\R###\ ###\ ##0.00"/>
  </numFmts>
  <fonts count="4" x14ac:knownFonts="1">
    <font>
      <sz val="11"/>
      <name val="Aptos Narrow"/>
    </font>
    <font>
      <b/>
      <sz val="11"/>
      <name val="Aptos Narrow"/>
    </font>
    <font>
      <sz val="10"/>
      <color rgb="FFFFFFFF"/>
      <name val="Aptos Narrow"/>
    </font>
    <font>
      <sz val="11"/>
      <name val="Aptos Narrow"/>
    </font>
  </fonts>
  <fills count="10">
    <fill>
      <patternFill patternType="none"/>
    </fill>
    <fill>
      <patternFill patternType="gray125"/>
    </fill>
    <fill>
      <patternFill patternType="solid">
        <fgColor rgb="FF54C8E1"/>
      </patternFill>
    </fill>
    <fill>
      <patternFill patternType="solid">
        <fgColor rgb="FF136ACD"/>
      </patternFill>
    </fill>
    <fill>
      <patternFill patternType="solid">
        <fgColor rgb="FF39DCD9"/>
      </patternFill>
    </fill>
    <fill>
      <patternFill patternType="solid">
        <fgColor rgb="FFFFFFFF"/>
      </patternFill>
    </fill>
    <fill>
      <patternFill patternType="solid">
        <fgColor rgb="FFFFB4B4"/>
      </patternFill>
    </fill>
    <fill>
      <patternFill patternType="solid">
        <fgColor rgb="FFC4D79B"/>
      </patternFill>
    </fill>
    <fill>
      <patternFill patternType="solid">
        <fgColor rgb="FFFABF8F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7">
    <xf numFmtId="0" fontId="0" fillId="0" borderId="0"/>
    <xf numFmtId="0" fontId="1" fillId="2" borderId="1">
      <alignment horizontal="center" vertical="center" textRotation="90"/>
    </xf>
    <xf numFmtId="0" fontId="2" fillId="3" borderId="0">
      <alignment horizontal="center" vertical="center" wrapText="1"/>
    </xf>
    <xf numFmtId="0" fontId="2" fillId="3" borderId="2">
      <alignment horizontal="center" vertical="center"/>
    </xf>
    <xf numFmtId="0" fontId="3" fillId="4" borderId="1">
      <alignment horizontal="center" vertical="center"/>
    </xf>
    <xf numFmtId="0" fontId="3" fillId="5" borderId="3">
      <alignment horizontal="left" vertical="center"/>
    </xf>
    <xf numFmtId="0" fontId="3" fillId="6" borderId="3">
      <alignment horizontal="left" vertical="center"/>
    </xf>
    <xf numFmtId="164" fontId="3" fillId="5" borderId="3">
      <alignment horizontal="right" vertical="center"/>
    </xf>
    <xf numFmtId="164" fontId="1" fillId="5" borderId="1">
      <alignment horizontal="right" vertical="center"/>
    </xf>
    <xf numFmtId="165" fontId="1" fillId="5" borderId="1">
      <alignment horizontal="right" vertical="center"/>
    </xf>
    <xf numFmtId="165" fontId="3" fillId="5" borderId="3">
      <alignment horizontal="right" vertical="center"/>
    </xf>
    <xf numFmtId="2" fontId="3" fillId="5" borderId="3">
      <alignment horizontal="right" vertical="center"/>
    </xf>
    <xf numFmtId="0" fontId="3" fillId="5" borderId="4">
      <alignment horizontal="left" vertical="center"/>
    </xf>
    <xf numFmtId="165" fontId="3" fillId="5" borderId="4">
      <alignment horizontal="right" vertical="center"/>
    </xf>
    <xf numFmtId="2" fontId="3" fillId="5" borderId="4">
      <alignment horizontal="right" vertical="center"/>
    </xf>
    <xf numFmtId="0" fontId="3" fillId="7" borderId="4">
      <alignment horizontal="center" vertical="center" wrapText="1"/>
    </xf>
    <xf numFmtId="0" fontId="3" fillId="8" borderId="4">
      <alignment horizontal="center" vertical="center" wrapText="1"/>
    </xf>
  </cellStyleXfs>
  <cellXfs count="3">
    <xf numFmtId="0" fontId="0" fillId="0" borderId="0" xfId="0"/>
    <xf numFmtId="0" fontId="2" fillId="3" borderId="2" xfId="3">
      <alignment horizontal="center" vertical="center"/>
    </xf>
    <xf numFmtId="0" fontId="0" fillId="9" borderId="0" xfId="0" applyFill="1"/>
  </cellXfs>
  <cellStyles count="17">
    <cellStyle name="Agreed" xfId="15" xr:uid="{00000000-0005-0000-0000-00000F000000}"/>
    <cellStyle name="CellHeading" xfId="3" xr:uid="{00000000-0005-0000-0000-000003000000}"/>
    <cellStyle name="CellHeadingLight" xfId="4" xr:uid="{00000000-0005-0000-0000-000004000000}"/>
    <cellStyle name="CellIntegerNoTopBorder" xfId="7" xr:uid="{00000000-0005-0000-0000-000007000000}"/>
    <cellStyle name="CellNumberPercent" xfId="14" xr:uid="{00000000-0005-0000-0000-00000E000000}"/>
    <cellStyle name="CellNumberPercentNoTopBorder" xfId="11" xr:uid="{00000000-0005-0000-0000-00000B000000}"/>
    <cellStyle name="CellNumberZAR" xfId="13" xr:uid="{00000000-0005-0000-0000-00000D000000}"/>
    <cellStyle name="CellNumberZARNoTopBorder" xfId="10" xr:uid="{00000000-0005-0000-0000-00000A000000}"/>
    <cellStyle name="CellText" xfId="12" xr:uid="{00000000-0005-0000-0000-00000C000000}"/>
    <cellStyle name="CellTextNoTopBorder" xfId="5" xr:uid="{00000000-0005-0000-0000-000005000000}"/>
    <cellStyle name="CellTextNoTopBorderAlert" xfId="6" xr:uid="{00000000-0005-0000-0000-000006000000}"/>
    <cellStyle name="CellTotalInteger" xfId="8" xr:uid="{00000000-0005-0000-0000-000008000000}"/>
    <cellStyle name="CellTotalNumberZAR" xfId="9" xr:uid="{00000000-0005-0000-0000-000009000000}"/>
    <cellStyle name="Heading" xfId="1" xr:uid="{00000000-0005-0000-0000-000001000000}"/>
    <cellStyle name="Normal" xfId="0" builtinId="0"/>
    <cellStyle name="Proposed" xfId="16" xr:uid="{00000000-0005-0000-0000-000010000000}"/>
    <cellStyle name="WorksheetHeader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35"/>
  <sheetViews>
    <sheetView tabSelected="1" workbookViewId="0">
      <pane ySplit="1" topLeftCell="A354" activePane="bottomLeft" state="frozen"/>
      <selection pane="bottomLeft" activeCell="C378" sqref="C378"/>
    </sheetView>
  </sheetViews>
  <sheetFormatPr baseColWidth="10" defaultColWidth="8.83203125" defaultRowHeight="15" x14ac:dyDescent="0.2"/>
  <cols>
    <col min="1" max="1" width="10.1640625" customWidth="1"/>
    <col min="2" max="2" width="20.83203125" customWidth="1"/>
    <col min="3" max="4" width="17.1640625" customWidth="1"/>
    <col min="5" max="5" width="33.1640625" customWidth="1"/>
    <col min="6" max="7" width="17.83203125" customWidth="1"/>
    <col min="8" max="8" width="22.5" customWidth="1"/>
    <col min="9" max="9" width="15.6640625" customWidth="1"/>
    <col min="10" max="10" width="14.83203125" hidden="1" customWidth="1"/>
    <col min="11" max="11" width="15.6640625" bestFit="1" customWidth="1"/>
    <col min="12" max="12" width="13.83203125" customWidth="1"/>
    <col min="13" max="13" width="22.5" hidden="1" customWidth="1"/>
    <col min="14" max="14" width="30.5" hidden="1" customWidth="1"/>
    <col min="15" max="15" width="32" hidden="1" customWidth="1"/>
    <col min="16" max="16" width="22.5" hidden="1" customWidth="1"/>
    <col min="17" max="17" width="11.83203125" bestFit="1" customWidth="1"/>
    <col min="18" max="18" width="16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3874</v>
      </c>
      <c r="I1" s="1" t="s">
        <v>7</v>
      </c>
      <c r="J1" s="1" t="s">
        <v>8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3873</v>
      </c>
      <c r="R1" s="1" t="s">
        <v>3875</v>
      </c>
    </row>
    <row r="2" spans="1:18" x14ac:dyDescent="0.2">
      <c r="A2" t="s">
        <v>20</v>
      </c>
      <c r="B2" t="s">
        <v>16</v>
      </c>
      <c r="C2" t="s">
        <v>14</v>
      </c>
      <c r="D2" t="s">
        <v>14</v>
      </c>
      <c r="E2" t="s">
        <v>21</v>
      </c>
      <c r="F2" t="s">
        <v>22</v>
      </c>
      <c r="G2" t="s">
        <v>23</v>
      </c>
      <c r="H2" t="s">
        <v>3872</v>
      </c>
      <c r="I2" t="s">
        <v>17</v>
      </c>
      <c r="J2">
        <v>5600</v>
      </c>
      <c r="K2">
        <f t="shared" ref="K2" si="0">VALUE(J2)</f>
        <v>5600</v>
      </c>
      <c r="L2">
        <v>6440</v>
      </c>
      <c r="M2" t="s">
        <v>24</v>
      </c>
      <c r="N2" t="s">
        <v>19</v>
      </c>
      <c r="O2" t="s">
        <v>19</v>
      </c>
      <c r="P2" t="s">
        <v>25</v>
      </c>
      <c r="Q2">
        <v>0</v>
      </c>
      <c r="R2" t="s">
        <v>3876</v>
      </c>
    </row>
    <row r="3" spans="1:18" x14ac:dyDescent="0.2">
      <c r="A3" t="s">
        <v>26</v>
      </c>
      <c r="B3" t="s">
        <v>16</v>
      </c>
      <c r="C3" t="s">
        <v>14</v>
      </c>
      <c r="D3" t="s">
        <v>14</v>
      </c>
      <c r="E3" t="s">
        <v>27</v>
      </c>
      <c r="F3" t="s">
        <v>22</v>
      </c>
      <c r="G3" t="s">
        <v>23</v>
      </c>
      <c r="H3" t="s">
        <v>3872</v>
      </c>
      <c r="I3" t="s">
        <v>17</v>
      </c>
      <c r="J3">
        <v>7193.65</v>
      </c>
      <c r="K3">
        <v>5600</v>
      </c>
      <c r="L3">
        <v>6440</v>
      </c>
      <c r="M3" t="s">
        <v>24</v>
      </c>
      <c r="N3" t="s">
        <v>19</v>
      </c>
      <c r="O3" t="s">
        <v>19</v>
      </c>
      <c r="P3" t="s">
        <v>25</v>
      </c>
      <c r="Q3">
        <v>0</v>
      </c>
      <c r="R3" t="s">
        <v>3876</v>
      </c>
    </row>
    <row r="4" spans="1:18" x14ac:dyDescent="0.2">
      <c r="A4" t="s">
        <v>30</v>
      </c>
      <c r="B4" t="s">
        <v>16</v>
      </c>
      <c r="C4" t="s">
        <v>14</v>
      </c>
      <c r="D4" t="s">
        <v>14</v>
      </c>
      <c r="E4" t="s">
        <v>31</v>
      </c>
      <c r="F4" t="s">
        <v>22</v>
      </c>
      <c r="G4" t="s">
        <v>23</v>
      </c>
      <c r="H4" t="s">
        <v>3872</v>
      </c>
      <c r="I4" t="s">
        <v>17</v>
      </c>
      <c r="J4">
        <v>60341.47</v>
      </c>
      <c r="K4">
        <v>7193.65</v>
      </c>
      <c r="L4">
        <v>8272.7000000000007</v>
      </c>
      <c r="M4" t="s">
        <v>28</v>
      </c>
      <c r="N4" t="s">
        <v>19</v>
      </c>
      <c r="O4" t="s">
        <v>18</v>
      </c>
      <c r="P4" t="s">
        <v>29</v>
      </c>
      <c r="Q4">
        <v>7</v>
      </c>
      <c r="R4" t="s">
        <v>3876</v>
      </c>
    </row>
    <row r="5" spans="1:18" x14ac:dyDescent="0.2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22</v>
      </c>
      <c r="G5" t="s">
        <v>23</v>
      </c>
      <c r="H5" t="s">
        <v>3872</v>
      </c>
      <c r="I5" t="s">
        <v>39</v>
      </c>
      <c r="J5">
        <v>2128.1</v>
      </c>
      <c r="K5">
        <v>60341.47</v>
      </c>
      <c r="L5">
        <v>69392.7</v>
      </c>
      <c r="M5" t="s">
        <v>32</v>
      </c>
      <c r="N5" t="s">
        <v>19</v>
      </c>
      <c r="O5" t="s">
        <v>19</v>
      </c>
      <c r="P5" t="s">
        <v>33</v>
      </c>
      <c r="Q5">
        <v>1</v>
      </c>
      <c r="R5" t="s">
        <v>3876</v>
      </c>
    </row>
    <row r="6" spans="1:18" x14ac:dyDescent="0.2">
      <c r="A6" t="s">
        <v>42</v>
      </c>
      <c r="B6" t="s">
        <v>16</v>
      </c>
      <c r="C6" t="s">
        <v>14</v>
      </c>
      <c r="D6" t="s">
        <v>14</v>
      </c>
      <c r="E6" t="s">
        <v>43</v>
      </c>
      <c r="F6" t="s">
        <v>44</v>
      </c>
      <c r="G6" t="s">
        <v>45</v>
      </c>
      <c r="H6" s="2" t="s">
        <v>3871</v>
      </c>
      <c r="I6" t="s">
        <v>17</v>
      </c>
      <c r="J6">
        <v>38261.199999999997</v>
      </c>
      <c r="K6">
        <v>2128.1</v>
      </c>
      <c r="L6">
        <v>2447.3200000000002</v>
      </c>
      <c r="M6" t="s">
        <v>40</v>
      </c>
      <c r="N6" t="s">
        <v>19</v>
      </c>
      <c r="O6" t="s">
        <v>19</v>
      </c>
      <c r="P6" t="s">
        <v>41</v>
      </c>
      <c r="Q6">
        <v>6</v>
      </c>
      <c r="R6" t="s">
        <v>3877</v>
      </c>
    </row>
    <row r="7" spans="1:18" x14ac:dyDescent="0.2">
      <c r="A7" t="s">
        <v>48</v>
      </c>
      <c r="B7" t="s">
        <v>49</v>
      </c>
      <c r="C7" t="s">
        <v>51</v>
      </c>
      <c r="D7" t="s">
        <v>51</v>
      </c>
      <c r="E7" t="s">
        <v>52</v>
      </c>
      <c r="F7" t="s">
        <v>22</v>
      </c>
      <c r="G7" t="s">
        <v>23</v>
      </c>
      <c r="H7" t="s">
        <v>3872</v>
      </c>
      <c r="I7" t="s">
        <v>50</v>
      </c>
      <c r="J7">
        <v>2248.1</v>
      </c>
      <c r="K7">
        <v>38261.199999999997</v>
      </c>
      <c r="L7">
        <v>44000.38</v>
      </c>
      <c r="M7" t="s">
        <v>46</v>
      </c>
      <c r="N7" t="s">
        <v>19</v>
      </c>
      <c r="O7" t="s">
        <v>18</v>
      </c>
      <c r="P7" t="s">
        <v>47</v>
      </c>
      <c r="Q7">
        <v>1</v>
      </c>
      <c r="R7" t="s">
        <v>3877</v>
      </c>
    </row>
    <row r="8" spans="1:18" x14ac:dyDescent="0.2">
      <c r="A8" t="s">
        <v>55</v>
      </c>
      <c r="B8" t="s">
        <v>16</v>
      </c>
      <c r="C8" t="s">
        <v>14</v>
      </c>
      <c r="D8" t="s">
        <v>14</v>
      </c>
      <c r="E8" t="s">
        <v>56</v>
      </c>
      <c r="F8" t="s">
        <v>57</v>
      </c>
      <c r="G8" t="s">
        <v>58</v>
      </c>
      <c r="H8" t="s">
        <v>3872</v>
      </c>
      <c r="I8" t="s">
        <v>17</v>
      </c>
      <c r="J8">
        <v>12901.21</v>
      </c>
      <c r="K8">
        <v>2248.1</v>
      </c>
      <c r="L8">
        <v>2585.3200000000002</v>
      </c>
      <c r="M8" t="s">
        <v>53</v>
      </c>
      <c r="N8" t="s">
        <v>19</v>
      </c>
      <c r="O8" t="s">
        <v>19</v>
      </c>
      <c r="P8" t="s">
        <v>54</v>
      </c>
      <c r="Q8">
        <v>1</v>
      </c>
      <c r="R8" t="s">
        <v>3877</v>
      </c>
    </row>
    <row r="9" spans="1:18" x14ac:dyDescent="0.2">
      <c r="A9" t="s">
        <v>61</v>
      </c>
      <c r="B9" t="s">
        <v>62</v>
      </c>
      <c r="C9" t="s">
        <v>64</v>
      </c>
      <c r="D9" t="s">
        <v>65</v>
      </c>
      <c r="E9" t="s">
        <v>66</v>
      </c>
      <c r="F9" t="s">
        <v>57</v>
      </c>
      <c r="G9" t="s">
        <v>58</v>
      </c>
      <c r="H9" t="s">
        <v>3872</v>
      </c>
      <c r="I9" t="s">
        <v>63</v>
      </c>
      <c r="J9">
        <v>8310.2099999999991</v>
      </c>
      <c r="K9">
        <v>12901.21</v>
      </c>
      <c r="L9">
        <v>14836.4</v>
      </c>
      <c r="M9" t="s">
        <v>59</v>
      </c>
      <c r="N9" t="s">
        <v>19</v>
      </c>
      <c r="O9" t="s">
        <v>18</v>
      </c>
      <c r="P9" t="s">
        <v>60</v>
      </c>
      <c r="Q9">
        <v>1</v>
      </c>
      <c r="R9" t="s">
        <v>3877</v>
      </c>
    </row>
    <row r="10" spans="1:18" x14ac:dyDescent="0.2">
      <c r="A10" t="s">
        <v>69</v>
      </c>
      <c r="B10" t="s">
        <v>16</v>
      </c>
      <c r="C10" t="s">
        <v>14</v>
      </c>
      <c r="D10" t="s">
        <v>14</v>
      </c>
      <c r="E10" t="s">
        <v>70</v>
      </c>
      <c r="F10" t="s">
        <v>44</v>
      </c>
      <c r="G10" t="s">
        <v>45</v>
      </c>
      <c r="H10" s="2" t="s">
        <v>3871</v>
      </c>
      <c r="I10" t="s">
        <v>17</v>
      </c>
      <c r="J10">
        <v>111732.3</v>
      </c>
      <c r="K10">
        <v>8310.2099999999991</v>
      </c>
      <c r="L10">
        <v>9556.75</v>
      </c>
      <c r="M10" t="s">
        <v>67</v>
      </c>
      <c r="N10" t="s">
        <v>19</v>
      </c>
      <c r="O10" t="s">
        <v>18</v>
      </c>
      <c r="P10" t="s">
        <v>68</v>
      </c>
      <c r="Q10">
        <v>50</v>
      </c>
      <c r="R10" t="s">
        <v>3876</v>
      </c>
    </row>
    <row r="11" spans="1:18" x14ac:dyDescent="0.2">
      <c r="A11" t="s">
        <v>73</v>
      </c>
      <c r="B11" t="s">
        <v>74</v>
      </c>
      <c r="C11" t="s">
        <v>76</v>
      </c>
      <c r="D11" t="s">
        <v>77</v>
      </c>
      <c r="E11" t="s">
        <v>78</v>
      </c>
      <c r="F11" t="s">
        <v>44</v>
      </c>
      <c r="G11" t="s">
        <v>45</v>
      </c>
      <c r="H11" t="s">
        <v>3872</v>
      </c>
      <c r="I11" t="s">
        <v>75</v>
      </c>
      <c r="J11">
        <v>4506.2</v>
      </c>
      <c r="K11">
        <v>111732.3</v>
      </c>
      <c r="L11">
        <v>128492.15</v>
      </c>
      <c r="M11" t="s">
        <v>71</v>
      </c>
      <c r="N11" t="s">
        <v>19</v>
      </c>
      <c r="O11" t="s">
        <v>18</v>
      </c>
      <c r="P11" t="s">
        <v>72</v>
      </c>
      <c r="Q11">
        <v>2</v>
      </c>
      <c r="R11" t="s">
        <v>3877</v>
      </c>
    </row>
    <row r="12" spans="1:18" x14ac:dyDescent="0.2">
      <c r="A12" t="s">
        <v>81</v>
      </c>
      <c r="B12" t="s">
        <v>82</v>
      </c>
      <c r="C12" t="s">
        <v>84</v>
      </c>
      <c r="D12" t="s">
        <v>85</v>
      </c>
      <c r="E12" t="s">
        <v>86</v>
      </c>
      <c r="F12" t="s">
        <v>44</v>
      </c>
      <c r="G12" t="s">
        <v>45</v>
      </c>
      <c r="H12" s="2" t="s">
        <v>3871</v>
      </c>
      <c r="I12" t="s">
        <v>83</v>
      </c>
      <c r="J12">
        <v>10691.79</v>
      </c>
      <c r="K12">
        <v>4506.2</v>
      </c>
      <c r="L12">
        <v>5182.1400000000003</v>
      </c>
      <c r="M12" t="s">
        <v>79</v>
      </c>
      <c r="N12" t="s">
        <v>19</v>
      </c>
      <c r="O12" t="s">
        <v>19</v>
      </c>
      <c r="P12" t="s">
        <v>80</v>
      </c>
      <c r="Q12">
        <v>3</v>
      </c>
      <c r="R12" t="s">
        <v>3876</v>
      </c>
    </row>
    <row r="13" spans="1:18" x14ac:dyDescent="0.2">
      <c r="A13" t="s">
        <v>89</v>
      </c>
      <c r="B13" t="s">
        <v>74</v>
      </c>
      <c r="C13" t="s">
        <v>90</v>
      </c>
      <c r="D13" t="s">
        <v>91</v>
      </c>
      <c r="E13" t="s">
        <v>92</v>
      </c>
      <c r="F13" t="s">
        <v>44</v>
      </c>
      <c r="G13" t="s">
        <v>45</v>
      </c>
      <c r="H13" t="s">
        <v>3872</v>
      </c>
      <c r="I13" t="s">
        <v>75</v>
      </c>
      <c r="J13">
        <v>5629.44</v>
      </c>
      <c r="K13">
        <v>10691.79</v>
      </c>
      <c r="L13">
        <v>12295.56</v>
      </c>
      <c r="M13" t="s">
        <v>87</v>
      </c>
      <c r="N13" t="s">
        <v>19</v>
      </c>
      <c r="O13" t="s">
        <v>19</v>
      </c>
      <c r="P13" t="s">
        <v>88</v>
      </c>
      <c r="Q13">
        <v>1</v>
      </c>
      <c r="R13" t="s">
        <v>3877</v>
      </c>
    </row>
    <row r="14" spans="1:18" x14ac:dyDescent="0.2">
      <c r="A14" t="s">
        <v>95</v>
      </c>
      <c r="B14" t="s">
        <v>96</v>
      </c>
      <c r="C14" t="s">
        <v>14</v>
      </c>
      <c r="D14" t="s">
        <v>14</v>
      </c>
      <c r="E14" t="s">
        <v>98</v>
      </c>
      <c r="F14" t="s">
        <v>99</v>
      </c>
      <c r="G14" t="s">
        <v>100</v>
      </c>
      <c r="H14" t="s">
        <v>3872</v>
      </c>
      <c r="I14" t="s">
        <v>97</v>
      </c>
      <c r="J14">
        <v>4135</v>
      </c>
      <c r="K14">
        <v>5629.44</v>
      </c>
      <c r="L14">
        <v>6473.86</v>
      </c>
      <c r="M14" t="s">
        <v>93</v>
      </c>
      <c r="N14" t="s">
        <v>19</v>
      </c>
      <c r="O14" t="s">
        <v>18</v>
      </c>
      <c r="P14" t="s">
        <v>94</v>
      </c>
      <c r="Q14">
        <v>0</v>
      </c>
      <c r="R14" t="s">
        <v>3877</v>
      </c>
    </row>
    <row r="15" spans="1:18" x14ac:dyDescent="0.2">
      <c r="A15" t="s">
        <v>103</v>
      </c>
      <c r="B15" t="s">
        <v>104</v>
      </c>
      <c r="C15" t="s">
        <v>84</v>
      </c>
      <c r="D15" t="s">
        <v>106</v>
      </c>
      <c r="E15" t="s">
        <v>107</v>
      </c>
      <c r="F15" t="s">
        <v>99</v>
      </c>
      <c r="G15" t="s">
        <v>100</v>
      </c>
      <c r="H15" t="s">
        <v>3872</v>
      </c>
      <c r="I15" t="s">
        <v>105</v>
      </c>
      <c r="J15">
        <v>41276.379999999997</v>
      </c>
      <c r="K15">
        <v>4135</v>
      </c>
      <c r="L15">
        <v>4755.25</v>
      </c>
      <c r="M15" t="s">
        <v>101</v>
      </c>
      <c r="N15" t="s">
        <v>19</v>
      </c>
      <c r="O15" t="s">
        <v>18</v>
      </c>
      <c r="P15" t="s">
        <v>102</v>
      </c>
      <c r="Q15">
        <v>6</v>
      </c>
      <c r="R15" t="s">
        <v>3877</v>
      </c>
    </row>
    <row r="16" spans="1:18" x14ac:dyDescent="0.2">
      <c r="A16" t="s">
        <v>110</v>
      </c>
      <c r="B16" t="s">
        <v>111</v>
      </c>
      <c r="C16" t="s">
        <v>113</v>
      </c>
      <c r="D16" t="s">
        <v>114</v>
      </c>
      <c r="E16" t="s">
        <v>115</v>
      </c>
      <c r="F16" t="s">
        <v>99</v>
      </c>
      <c r="G16" t="s">
        <v>100</v>
      </c>
      <c r="H16" t="s">
        <v>3872</v>
      </c>
      <c r="I16" t="s">
        <v>112</v>
      </c>
      <c r="J16">
        <v>239870.11</v>
      </c>
      <c r="K16">
        <v>41276.379999999997</v>
      </c>
      <c r="L16">
        <v>47467.83</v>
      </c>
      <c r="M16" t="s">
        <v>108</v>
      </c>
      <c r="N16" t="s">
        <v>19</v>
      </c>
      <c r="O16" t="s">
        <v>18</v>
      </c>
      <c r="P16" t="s">
        <v>109</v>
      </c>
      <c r="Q16">
        <v>109</v>
      </c>
      <c r="R16" t="s">
        <v>3876</v>
      </c>
    </row>
    <row r="17" spans="1:18" x14ac:dyDescent="0.2">
      <c r="A17" t="s">
        <v>118</v>
      </c>
      <c r="B17" t="s">
        <v>119</v>
      </c>
      <c r="C17" t="s">
        <v>121</v>
      </c>
      <c r="D17" t="s">
        <v>122</v>
      </c>
      <c r="E17" t="s">
        <v>123</v>
      </c>
      <c r="F17" t="s">
        <v>99</v>
      </c>
      <c r="G17" t="s">
        <v>100</v>
      </c>
      <c r="H17" s="2" t="s">
        <v>3871</v>
      </c>
      <c r="I17" t="s">
        <v>120</v>
      </c>
      <c r="J17">
        <v>5397.26</v>
      </c>
      <c r="K17">
        <v>239870.11</v>
      </c>
      <c r="L17">
        <v>275850.63</v>
      </c>
      <c r="M17" t="s">
        <v>116</v>
      </c>
      <c r="N17" t="s">
        <v>19</v>
      </c>
      <c r="O17" t="s">
        <v>19</v>
      </c>
      <c r="P17" t="s">
        <v>117</v>
      </c>
      <c r="Q17">
        <v>2</v>
      </c>
      <c r="R17" t="s">
        <v>3877</v>
      </c>
    </row>
    <row r="18" spans="1:18" x14ac:dyDescent="0.2">
      <c r="A18" t="s">
        <v>126</v>
      </c>
      <c r="B18" t="s">
        <v>127</v>
      </c>
      <c r="C18" t="s">
        <v>129</v>
      </c>
      <c r="D18" t="s">
        <v>130</v>
      </c>
      <c r="E18" t="s">
        <v>133</v>
      </c>
      <c r="F18" t="s">
        <v>134</v>
      </c>
      <c r="G18" t="s">
        <v>135</v>
      </c>
      <c r="H18" s="2" t="s">
        <v>3871</v>
      </c>
      <c r="I18" t="s">
        <v>128</v>
      </c>
      <c r="J18">
        <v>11450</v>
      </c>
      <c r="K18">
        <v>5397.26</v>
      </c>
      <c r="L18">
        <v>6206.85</v>
      </c>
      <c r="M18" t="s">
        <v>124</v>
      </c>
      <c r="N18" t="s">
        <v>19</v>
      </c>
      <c r="O18" t="s">
        <v>18</v>
      </c>
      <c r="P18" t="s">
        <v>125</v>
      </c>
      <c r="Q18">
        <v>0</v>
      </c>
      <c r="R18" t="s">
        <v>3877</v>
      </c>
    </row>
    <row r="19" spans="1:18" x14ac:dyDescent="0.2">
      <c r="A19" t="s">
        <v>138</v>
      </c>
      <c r="B19" t="s">
        <v>139</v>
      </c>
      <c r="C19" t="s">
        <v>140</v>
      </c>
      <c r="D19" t="s">
        <v>141</v>
      </c>
      <c r="E19" t="s">
        <v>142</v>
      </c>
      <c r="F19" t="s">
        <v>99</v>
      </c>
      <c r="G19" t="s">
        <v>100</v>
      </c>
      <c r="H19" t="s">
        <v>3872</v>
      </c>
      <c r="I19" t="s">
        <v>143</v>
      </c>
      <c r="J19">
        <v>102724.81</v>
      </c>
      <c r="K19">
        <v>11450</v>
      </c>
      <c r="L19">
        <v>13167.5</v>
      </c>
      <c r="M19" t="s">
        <v>136</v>
      </c>
      <c r="N19" t="s">
        <v>19</v>
      </c>
      <c r="O19" t="s">
        <v>18</v>
      </c>
      <c r="P19" t="s">
        <v>137</v>
      </c>
      <c r="Q19">
        <v>17</v>
      </c>
      <c r="R19" t="s">
        <v>3876</v>
      </c>
    </row>
    <row r="20" spans="1:18" x14ac:dyDescent="0.2">
      <c r="A20" t="s">
        <v>147</v>
      </c>
      <c r="B20" t="s">
        <v>148</v>
      </c>
      <c r="C20" t="s">
        <v>150</v>
      </c>
      <c r="D20" t="s">
        <v>150</v>
      </c>
      <c r="E20" t="s">
        <v>152</v>
      </c>
      <c r="F20" t="s">
        <v>153</v>
      </c>
      <c r="G20" t="s">
        <v>154</v>
      </c>
      <c r="H20" t="s">
        <v>3872</v>
      </c>
      <c r="I20" t="s">
        <v>149</v>
      </c>
      <c r="J20">
        <v>52679.87</v>
      </c>
      <c r="K20">
        <v>102724.81</v>
      </c>
      <c r="L20">
        <v>118133.56</v>
      </c>
      <c r="M20" t="s">
        <v>144</v>
      </c>
      <c r="N20" t="s">
        <v>19</v>
      </c>
      <c r="O20" t="s">
        <v>145</v>
      </c>
      <c r="P20" t="s">
        <v>146</v>
      </c>
      <c r="Q20">
        <v>2</v>
      </c>
      <c r="R20" t="s">
        <v>3876</v>
      </c>
    </row>
    <row r="21" spans="1:18" x14ac:dyDescent="0.2">
      <c r="A21" t="s">
        <v>157</v>
      </c>
      <c r="B21" t="s">
        <v>158</v>
      </c>
      <c r="C21" t="s">
        <v>121</v>
      </c>
      <c r="D21" t="s">
        <v>160</v>
      </c>
      <c r="E21" t="s">
        <v>161</v>
      </c>
      <c r="F21" t="s">
        <v>153</v>
      </c>
      <c r="G21" t="s">
        <v>154</v>
      </c>
      <c r="H21" t="s">
        <v>3872</v>
      </c>
      <c r="I21" t="s">
        <v>159</v>
      </c>
      <c r="J21">
        <v>3045</v>
      </c>
      <c r="K21">
        <v>52679.87</v>
      </c>
      <c r="L21">
        <v>60581.85</v>
      </c>
      <c r="M21" t="s">
        <v>155</v>
      </c>
      <c r="N21" t="s">
        <v>19</v>
      </c>
      <c r="O21" t="s">
        <v>19</v>
      </c>
      <c r="P21" t="s">
        <v>156</v>
      </c>
      <c r="Q21">
        <v>0</v>
      </c>
      <c r="R21" t="s">
        <v>3877</v>
      </c>
    </row>
    <row r="22" spans="1:18" x14ac:dyDescent="0.2">
      <c r="A22" t="s">
        <v>164</v>
      </c>
      <c r="B22" t="s">
        <v>165</v>
      </c>
      <c r="C22" t="s">
        <v>167</v>
      </c>
      <c r="D22" t="s">
        <v>168</v>
      </c>
      <c r="E22" t="s">
        <v>169</v>
      </c>
      <c r="F22" t="s">
        <v>153</v>
      </c>
      <c r="G22" t="s">
        <v>154</v>
      </c>
      <c r="H22" t="s">
        <v>3872</v>
      </c>
      <c r="I22" t="s">
        <v>166</v>
      </c>
      <c r="J22">
        <v>4256.2</v>
      </c>
      <c r="K22">
        <v>3045</v>
      </c>
      <c r="L22">
        <v>3501.75</v>
      </c>
      <c r="M22" t="s">
        <v>162</v>
      </c>
      <c r="N22" t="s">
        <v>19</v>
      </c>
      <c r="O22" t="s">
        <v>18</v>
      </c>
      <c r="P22" t="s">
        <v>163</v>
      </c>
      <c r="Q22">
        <v>2</v>
      </c>
      <c r="R22" t="s">
        <v>3876</v>
      </c>
    </row>
    <row r="23" spans="1:18" x14ac:dyDescent="0.2">
      <c r="A23" t="s">
        <v>172</v>
      </c>
      <c r="B23" t="s">
        <v>165</v>
      </c>
      <c r="C23" t="s">
        <v>113</v>
      </c>
      <c r="D23" t="s">
        <v>173</v>
      </c>
      <c r="E23" t="s">
        <v>174</v>
      </c>
      <c r="F23" t="s">
        <v>153</v>
      </c>
      <c r="G23" t="s">
        <v>154</v>
      </c>
      <c r="H23" t="s">
        <v>3872</v>
      </c>
      <c r="I23" t="s">
        <v>166</v>
      </c>
      <c r="J23">
        <v>12768.6</v>
      </c>
      <c r="K23">
        <v>4256.2</v>
      </c>
      <c r="L23">
        <v>4894.63</v>
      </c>
      <c r="M23" t="s">
        <v>170</v>
      </c>
      <c r="N23" t="s">
        <v>19</v>
      </c>
      <c r="O23" t="s">
        <v>18</v>
      </c>
      <c r="P23" t="s">
        <v>171</v>
      </c>
      <c r="Q23">
        <v>6</v>
      </c>
      <c r="R23" t="s">
        <v>3877</v>
      </c>
    </row>
    <row r="24" spans="1:18" x14ac:dyDescent="0.2">
      <c r="A24" t="s">
        <v>177</v>
      </c>
      <c r="B24" t="s">
        <v>178</v>
      </c>
      <c r="C24" t="s">
        <v>180</v>
      </c>
      <c r="D24" t="s">
        <v>180</v>
      </c>
      <c r="E24" t="s">
        <v>181</v>
      </c>
      <c r="F24" t="s">
        <v>182</v>
      </c>
      <c r="G24" t="s">
        <v>183</v>
      </c>
      <c r="H24" t="s">
        <v>3872</v>
      </c>
      <c r="I24" t="s">
        <v>179</v>
      </c>
      <c r="J24">
        <v>2290</v>
      </c>
      <c r="K24">
        <v>12768.6</v>
      </c>
      <c r="L24">
        <v>14683.89</v>
      </c>
      <c r="M24" t="s">
        <v>175</v>
      </c>
      <c r="N24" t="s">
        <v>19</v>
      </c>
      <c r="O24" t="s">
        <v>18</v>
      </c>
      <c r="P24" t="s">
        <v>176</v>
      </c>
      <c r="Q24">
        <v>0</v>
      </c>
      <c r="R24" t="s">
        <v>3876</v>
      </c>
    </row>
    <row r="25" spans="1:18" x14ac:dyDescent="0.2">
      <c r="A25" t="s">
        <v>186</v>
      </c>
      <c r="B25" t="s">
        <v>187</v>
      </c>
      <c r="C25" t="s">
        <v>189</v>
      </c>
      <c r="D25" t="s">
        <v>168</v>
      </c>
      <c r="E25" t="s">
        <v>190</v>
      </c>
      <c r="F25" t="s">
        <v>182</v>
      </c>
      <c r="G25" t="s">
        <v>183</v>
      </c>
      <c r="H25" t="s">
        <v>3872</v>
      </c>
      <c r="I25" t="s">
        <v>188</v>
      </c>
      <c r="J25">
        <v>2290</v>
      </c>
      <c r="K25">
        <v>2290</v>
      </c>
      <c r="L25">
        <v>2633.5</v>
      </c>
      <c r="M25" t="s">
        <v>184</v>
      </c>
      <c r="N25" t="s">
        <v>19</v>
      </c>
      <c r="O25" t="s">
        <v>19</v>
      </c>
      <c r="P25" t="s">
        <v>185</v>
      </c>
      <c r="Q25">
        <v>0</v>
      </c>
      <c r="R25" t="s">
        <v>3877</v>
      </c>
    </row>
    <row r="26" spans="1:18" x14ac:dyDescent="0.2">
      <c r="A26" t="s">
        <v>193</v>
      </c>
      <c r="B26" t="s">
        <v>16</v>
      </c>
      <c r="C26" t="s">
        <v>14</v>
      </c>
      <c r="D26" t="s">
        <v>14</v>
      </c>
      <c r="E26" t="s">
        <v>194</v>
      </c>
      <c r="F26" t="s">
        <v>182</v>
      </c>
      <c r="G26" t="s">
        <v>183</v>
      </c>
      <c r="H26" t="s">
        <v>3872</v>
      </c>
      <c r="I26" t="s">
        <v>17</v>
      </c>
      <c r="J26">
        <v>18240.419999999998</v>
      </c>
      <c r="K26">
        <v>2290</v>
      </c>
      <c r="L26">
        <v>2633.5</v>
      </c>
      <c r="M26" t="s">
        <v>191</v>
      </c>
      <c r="N26" t="s">
        <v>19</v>
      </c>
      <c r="O26" t="s">
        <v>18</v>
      </c>
      <c r="P26" t="s">
        <v>192</v>
      </c>
      <c r="Q26">
        <v>2</v>
      </c>
      <c r="R26" t="s">
        <v>3876</v>
      </c>
    </row>
    <row r="27" spans="1:18" x14ac:dyDescent="0.2">
      <c r="A27" t="s">
        <v>197</v>
      </c>
      <c r="B27" t="s">
        <v>198</v>
      </c>
      <c r="C27" t="s">
        <v>14</v>
      </c>
      <c r="D27" t="s">
        <v>200</v>
      </c>
      <c r="E27" t="s">
        <v>201</v>
      </c>
      <c r="F27" t="s">
        <v>202</v>
      </c>
      <c r="G27" t="s">
        <v>203</v>
      </c>
      <c r="H27" t="s">
        <v>3872</v>
      </c>
      <c r="I27" t="s">
        <v>199</v>
      </c>
      <c r="J27">
        <v>28515.37</v>
      </c>
      <c r="K27">
        <v>18240.419999999998</v>
      </c>
      <c r="L27">
        <v>20976.48</v>
      </c>
      <c r="M27" t="s">
        <v>195</v>
      </c>
      <c r="N27" t="s">
        <v>19</v>
      </c>
      <c r="O27" t="s">
        <v>19</v>
      </c>
      <c r="P27" t="s">
        <v>196</v>
      </c>
      <c r="Q27">
        <v>2</v>
      </c>
      <c r="R27" t="s">
        <v>3876</v>
      </c>
    </row>
    <row r="28" spans="1:18" x14ac:dyDescent="0.2">
      <c r="A28" t="s">
        <v>207</v>
      </c>
      <c r="B28" t="s">
        <v>208</v>
      </c>
      <c r="C28" t="s">
        <v>14</v>
      </c>
      <c r="D28" t="s">
        <v>210</v>
      </c>
      <c r="E28" t="s">
        <v>211</v>
      </c>
      <c r="F28" t="s">
        <v>212</v>
      </c>
      <c r="G28" t="s">
        <v>213</v>
      </c>
      <c r="H28" t="s">
        <v>3872</v>
      </c>
      <c r="I28" t="s">
        <v>209</v>
      </c>
      <c r="J28">
        <v>127698.58</v>
      </c>
      <c r="K28">
        <v>28515.37</v>
      </c>
      <c r="L28">
        <v>32792.68</v>
      </c>
      <c r="M28" t="s">
        <v>204</v>
      </c>
      <c r="N28" t="s">
        <v>19</v>
      </c>
      <c r="O28" t="s">
        <v>19</v>
      </c>
      <c r="P28" t="s">
        <v>205</v>
      </c>
      <c r="Q28">
        <v>15</v>
      </c>
      <c r="R28" t="s">
        <v>3876</v>
      </c>
    </row>
    <row r="29" spans="1:18" x14ac:dyDescent="0.2">
      <c r="A29" t="s">
        <v>216</v>
      </c>
      <c r="B29" t="s">
        <v>217</v>
      </c>
      <c r="C29" t="s">
        <v>121</v>
      </c>
      <c r="D29" t="s">
        <v>219</v>
      </c>
      <c r="E29" t="s">
        <v>220</v>
      </c>
      <c r="F29" t="s">
        <v>221</v>
      </c>
      <c r="G29" t="s">
        <v>222</v>
      </c>
      <c r="H29" s="2" t="s">
        <v>3871</v>
      </c>
      <c r="I29" t="s">
        <v>218</v>
      </c>
      <c r="J29">
        <v>37647.9</v>
      </c>
      <c r="K29">
        <v>127698.58</v>
      </c>
      <c r="L29">
        <v>146853.39000000001</v>
      </c>
      <c r="M29" t="s">
        <v>214</v>
      </c>
      <c r="N29" t="s">
        <v>19</v>
      </c>
      <c r="O29" t="s">
        <v>19</v>
      </c>
      <c r="P29" t="s">
        <v>215</v>
      </c>
      <c r="Q29">
        <v>10</v>
      </c>
      <c r="R29" t="s">
        <v>3877</v>
      </c>
    </row>
    <row r="30" spans="1:18" x14ac:dyDescent="0.2">
      <c r="A30" t="s">
        <v>225</v>
      </c>
      <c r="B30" t="s">
        <v>148</v>
      </c>
      <c r="C30" t="s">
        <v>226</v>
      </c>
      <c r="D30" t="s">
        <v>226</v>
      </c>
      <c r="E30" t="s">
        <v>228</v>
      </c>
      <c r="F30" t="s">
        <v>229</v>
      </c>
      <c r="G30" t="s">
        <v>135</v>
      </c>
      <c r="H30" t="s">
        <v>3872</v>
      </c>
      <c r="I30" t="s">
        <v>149</v>
      </c>
      <c r="J30">
        <v>43249.89</v>
      </c>
      <c r="K30">
        <v>37647.9</v>
      </c>
      <c r="L30">
        <v>43295.09</v>
      </c>
      <c r="M30" t="s">
        <v>223</v>
      </c>
      <c r="N30" t="s">
        <v>19</v>
      </c>
      <c r="O30" t="s">
        <v>18</v>
      </c>
      <c r="P30" t="s">
        <v>224</v>
      </c>
      <c r="Q30">
        <v>2</v>
      </c>
      <c r="R30" t="s">
        <v>3877</v>
      </c>
    </row>
    <row r="31" spans="1:18" x14ac:dyDescent="0.2">
      <c r="A31" t="s">
        <v>232</v>
      </c>
      <c r="B31" t="s">
        <v>233</v>
      </c>
      <c r="C31" t="s">
        <v>14</v>
      </c>
      <c r="D31" t="s">
        <v>235</v>
      </c>
      <c r="E31" t="s">
        <v>236</v>
      </c>
      <c r="F31" t="s">
        <v>229</v>
      </c>
      <c r="G31" t="s">
        <v>135</v>
      </c>
      <c r="H31" t="s">
        <v>3872</v>
      </c>
      <c r="I31" t="s">
        <v>234</v>
      </c>
      <c r="J31">
        <v>27360.63</v>
      </c>
      <c r="K31">
        <v>43249.89</v>
      </c>
      <c r="L31">
        <v>49737.36</v>
      </c>
      <c r="M31" t="s">
        <v>230</v>
      </c>
      <c r="N31" t="s">
        <v>19</v>
      </c>
      <c r="O31" t="s">
        <v>18</v>
      </c>
      <c r="P31" t="s">
        <v>231</v>
      </c>
      <c r="Q31">
        <v>3</v>
      </c>
      <c r="R31" t="s">
        <v>3876</v>
      </c>
    </row>
    <row r="32" spans="1:18" x14ac:dyDescent="0.2">
      <c r="A32" t="s">
        <v>239</v>
      </c>
      <c r="B32" t="s">
        <v>127</v>
      </c>
      <c r="C32" t="s">
        <v>121</v>
      </c>
      <c r="D32" t="s">
        <v>130</v>
      </c>
      <c r="E32" t="s">
        <v>240</v>
      </c>
      <c r="F32" t="s">
        <v>134</v>
      </c>
      <c r="G32" t="s">
        <v>241</v>
      </c>
      <c r="H32" s="2" t="s">
        <v>3871</v>
      </c>
      <c r="I32" t="s">
        <v>128</v>
      </c>
      <c r="J32">
        <v>5040.6000000000004</v>
      </c>
      <c r="K32">
        <v>27360.63</v>
      </c>
      <c r="L32">
        <v>31464.73</v>
      </c>
      <c r="M32" t="s">
        <v>237</v>
      </c>
      <c r="N32" t="s">
        <v>19</v>
      </c>
      <c r="O32" t="s">
        <v>19</v>
      </c>
      <c r="P32" t="s">
        <v>238</v>
      </c>
      <c r="Q32">
        <v>1</v>
      </c>
      <c r="R32" t="s">
        <v>3877</v>
      </c>
    </row>
    <row r="33" spans="1:18" x14ac:dyDescent="0.2">
      <c r="A33" t="s">
        <v>244</v>
      </c>
      <c r="B33" t="s">
        <v>245</v>
      </c>
      <c r="C33" t="s">
        <v>247</v>
      </c>
      <c r="D33" t="s">
        <v>248</v>
      </c>
      <c r="E33" t="s">
        <v>249</v>
      </c>
      <c r="F33" t="s">
        <v>134</v>
      </c>
      <c r="G33" t="s">
        <v>241</v>
      </c>
      <c r="H33" t="s">
        <v>3872</v>
      </c>
      <c r="I33" t="s">
        <v>246</v>
      </c>
      <c r="J33">
        <v>7294.44</v>
      </c>
      <c r="K33">
        <v>5040.6000000000004</v>
      </c>
      <c r="L33">
        <v>5796.69</v>
      </c>
      <c r="M33" t="s">
        <v>242</v>
      </c>
      <c r="N33" t="s">
        <v>19</v>
      </c>
      <c r="O33" t="s">
        <v>18</v>
      </c>
      <c r="P33" t="s">
        <v>243</v>
      </c>
      <c r="Q33">
        <v>1</v>
      </c>
      <c r="R33" t="s">
        <v>3877</v>
      </c>
    </row>
    <row r="34" spans="1:18" x14ac:dyDescent="0.2">
      <c r="A34" t="s">
        <v>252</v>
      </c>
      <c r="B34" t="s">
        <v>148</v>
      </c>
      <c r="C34" t="s">
        <v>253</v>
      </c>
      <c r="D34" t="s">
        <v>253</v>
      </c>
      <c r="E34" t="s">
        <v>254</v>
      </c>
      <c r="F34" t="s">
        <v>255</v>
      </c>
      <c r="G34" t="s">
        <v>256</v>
      </c>
      <c r="H34" t="s">
        <v>3872</v>
      </c>
      <c r="I34" t="s">
        <v>149</v>
      </c>
      <c r="J34">
        <v>106648.76</v>
      </c>
      <c r="K34">
        <v>7294.44</v>
      </c>
      <c r="L34">
        <v>8388.61</v>
      </c>
      <c r="M34" t="s">
        <v>250</v>
      </c>
      <c r="N34" t="s">
        <v>19</v>
      </c>
      <c r="O34" t="s">
        <v>18</v>
      </c>
      <c r="P34" t="s">
        <v>251</v>
      </c>
      <c r="Q34">
        <v>8</v>
      </c>
      <c r="R34" t="s">
        <v>3877</v>
      </c>
    </row>
    <row r="35" spans="1:18" x14ac:dyDescent="0.2">
      <c r="A35" t="s">
        <v>259</v>
      </c>
      <c r="B35" t="s">
        <v>119</v>
      </c>
      <c r="C35" t="s">
        <v>121</v>
      </c>
      <c r="D35" t="s">
        <v>122</v>
      </c>
      <c r="E35" t="s">
        <v>260</v>
      </c>
      <c r="F35" t="s">
        <v>261</v>
      </c>
      <c r="G35" t="s">
        <v>262</v>
      </c>
      <c r="H35" t="s">
        <v>3872</v>
      </c>
      <c r="I35" t="s">
        <v>120</v>
      </c>
      <c r="J35">
        <v>53858.6</v>
      </c>
      <c r="K35">
        <v>106648.76</v>
      </c>
      <c r="L35">
        <v>122646.08</v>
      </c>
      <c r="M35" t="s">
        <v>257</v>
      </c>
      <c r="N35" t="s">
        <v>19</v>
      </c>
      <c r="O35" t="s">
        <v>18</v>
      </c>
      <c r="P35" t="s">
        <v>258</v>
      </c>
      <c r="Q35">
        <v>0</v>
      </c>
      <c r="R35" t="s">
        <v>3876</v>
      </c>
    </row>
    <row r="36" spans="1:18" x14ac:dyDescent="0.2">
      <c r="A36" t="s">
        <v>265</v>
      </c>
      <c r="B36" t="s">
        <v>266</v>
      </c>
      <c r="C36" t="s">
        <v>268</v>
      </c>
      <c r="D36" t="s">
        <v>268</v>
      </c>
      <c r="E36" t="s">
        <v>269</v>
      </c>
      <c r="F36" t="s">
        <v>261</v>
      </c>
      <c r="G36" t="s">
        <v>262</v>
      </c>
      <c r="H36" t="s">
        <v>3872</v>
      </c>
      <c r="I36" t="s">
        <v>267</v>
      </c>
      <c r="J36">
        <v>37033.360000000001</v>
      </c>
      <c r="K36">
        <v>53858.6</v>
      </c>
      <c r="L36">
        <v>61937.39</v>
      </c>
      <c r="M36" t="s">
        <v>263</v>
      </c>
      <c r="N36" t="s">
        <v>19</v>
      </c>
      <c r="O36" t="s">
        <v>15</v>
      </c>
      <c r="P36" t="s">
        <v>264</v>
      </c>
      <c r="Q36">
        <v>15</v>
      </c>
      <c r="R36" t="s">
        <v>3876</v>
      </c>
    </row>
    <row r="37" spans="1:18" x14ac:dyDescent="0.2">
      <c r="A37" t="s">
        <v>272</v>
      </c>
      <c r="B37" t="s">
        <v>273</v>
      </c>
      <c r="C37" t="s">
        <v>275</v>
      </c>
      <c r="D37" t="s">
        <v>276</v>
      </c>
      <c r="E37" t="s">
        <v>277</v>
      </c>
      <c r="F37" t="s">
        <v>278</v>
      </c>
      <c r="G37" t="s">
        <v>256</v>
      </c>
      <c r="H37" t="s">
        <v>3872</v>
      </c>
      <c r="I37" t="s">
        <v>274</v>
      </c>
      <c r="J37">
        <v>170397.79</v>
      </c>
      <c r="K37">
        <v>37033.360000000001</v>
      </c>
      <c r="L37">
        <v>42588.42</v>
      </c>
      <c r="M37" t="s">
        <v>270</v>
      </c>
      <c r="N37" t="s">
        <v>19</v>
      </c>
      <c r="O37" t="s">
        <v>19</v>
      </c>
      <c r="P37" t="s">
        <v>271</v>
      </c>
      <c r="Q37">
        <v>25</v>
      </c>
      <c r="R37" t="s">
        <v>3877</v>
      </c>
    </row>
    <row r="38" spans="1:18" x14ac:dyDescent="0.2">
      <c r="A38" t="s">
        <v>281</v>
      </c>
      <c r="B38" t="s">
        <v>282</v>
      </c>
      <c r="C38" t="s">
        <v>14</v>
      </c>
      <c r="D38" t="s">
        <v>14</v>
      </c>
      <c r="E38" t="s">
        <v>283</v>
      </c>
      <c r="F38" t="s">
        <v>278</v>
      </c>
      <c r="G38" t="s">
        <v>284</v>
      </c>
      <c r="H38" s="2" t="s">
        <v>3871</v>
      </c>
      <c r="I38" t="s">
        <v>285</v>
      </c>
      <c r="J38">
        <v>93966.04</v>
      </c>
      <c r="K38">
        <v>170397.79</v>
      </c>
      <c r="L38">
        <v>195957.46</v>
      </c>
      <c r="M38" t="s">
        <v>279</v>
      </c>
      <c r="N38" t="s">
        <v>19</v>
      </c>
      <c r="O38" t="s">
        <v>18</v>
      </c>
      <c r="P38" t="s">
        <v>280</v>
      </c>
      <c r="Q38">
        <v>9</v>
      </c>
      <c r="R38" t="s">
        <v>3880</v>
      </c>
    </row>
    <row r="39" spans="1:18" x14ac:dyDescent="0.2">
      <c r="A39" t="s">
        <v>288</v>
      </c>
      <c r="B39" t="s">
        <v>148</v>
      </c>
      <c r="C39" t="s">
        <v>14</v>
      </c>
      <c r="D39" t="s">
        <v>14</v>
      </c>
      <c r="E39" t="s">
        <v>289</v>
      </c>
      <c r="F39" t="s">
        <v>278</v>
      </c>
      <c r="G39" t="s">
        <v>284</v>
      </c>
      <c r="H39" t="s">
        <v>3872</v>
      </c>
      <c r="I39" t="s">
        <v>149</v>
      </c>
      <c r="J39">
        <v>158.25</v>
      </c>
      <c r="K39">
        <v>93966.04</v>
      </c>
      <c r="L39">
        <v>108060.95</v>
      </c>
      <c r="M39" t="s">
        <v>286</v>
      </c>
      <c r="N39" t="s">
        <v>19</v>
      </c>
      <c r="O39" t="s">
        <v>19</v>
      </c>
      <c r="P39" t="s">
        <v>287</v>
      </c>
      <c r="Q39">
        <v>0</v>
      </c>
      <c r="R39" t="s">
        <v>3876</v>
      </c>
    </row>
    <row r="40" spans="1:18" x14ac:dyDescent="0.2">
      <c r="A40" t="s">
        <v>292</v>
      </c>
      <c r="B40" t="s">
        <v>293</v>
      </c>
      <c r="C40" t="s">
        <v>295</v>
      </c>
      <c r="D40" t="s">
        <v>130</v>
      </c>
      <c r="E40" t="s">
        <v>296</v>
      </c>
      <c r="F40" t="s">
        <v>297</v>
      </c>
      <c r="G40" t="s">
        <v>298</v>
      </c>
      <c r="H40" t="s">
        <v>3872</v>
      </c>
      <c r="I40" t="s">
        <v>294</v>
      </c>
      <c r="J40">
        <v>21681.37</v>
      </c>
      <c r="K40">
        <v>158.25</v>
      </c>
      <c r="L40">
        <v>181.99</v>
      </c>
      <c r="M40" t="s">
        <v>290</v>
      </c>
      <c r="N40" t="s">
        <v>19</v>
      </c>
      <c r="O40" t="s">
        <v>19</v>
      </c>
      <c r="P40" t="s">
        <v>291</v>
      </c>
      <c r="Q40">
        <v>2</v>
      </c>
      <c r="R40" t="s">
        <v>3877</v>
      </c>
    </row>
    <row r="41" spans="1:18" x14ac:dyDescent="0.2">
      <c r="A41" t="s">
        <v>301</v>
      </c>
      <c r="B41" t="s">
        <v>302</v>
      </c>
      <c r="C41" t="s">
        <v>304</v>
      </c>
      <c r="D41" t="s">
        <v>305</v>
      </c>
      <c r="E41" t="s">
        <v>306</v>
      </c>
      <c r="F41" t="s">
        <v>297</v>
      </c>
      <c r="G41" t="s">
        <v>298</v>
      </c>
      <c r="H41" t="s">
        <v>3872</v>
      </c>
      <c r="I41" t="s">
        <v>307</v>
      </c>
      <c r="J41">
        <v>8515.2000000000007</v>
      </c>
      <c r="K41">
        <v>21681.37</v>
      </c>
      <c r="L41">
        <v>24933.58</v>
      </c>
      <c r="M41" t="s">
        <v>299</v>
      </c>
      <c r="N41" t="s">
        <v>19</v>
      </c>
      <c r="O41" t="s">
        <v>18</v>
      </c>
      <c r="P41" t="s">
        <v>300</v>
      </c>
      <c r="Q41">
        <v>2</v>
      </c>
      <c r="R41" t="s">
        <v>3877</v>
      </c>
    </row>
    <row r="42" spans="1:18" x14ac:dyDescent="0.2">
      <c r="A42" t="s">
        <v>310</v>
      </c>
      <c r="B42" t="s">
        <v>311</v>
      </c>
      <c r="C42" t="s">
        <v>313</v>
      </c>
      <c r="D42" t="s">
        <v>313</v>
      </c>
      <c r="E42" t="s">
        <v>314</v>
      </c>
      <c r="F42" t="s">
        <v>297</v>
      </c>
      <c r="G42" t="s">
        <v>298</v>
      </c>
      <c r="H42" t="s">
        <v>3872</v>
      </c>
      <c r="I42" t="s">
        <v>315</v>
      </c>
      <c r="J42">
        <v>14899.5</v>
      </c>
      <c r="K42">
        <v>8515.2000000000007</v>
      </c>
      <c r="L42">
        <v>9792.49</v>
      </c>
      <c r="M42" t="s">
        <v>308</v>
      </c>
      <c r="N42" t="s">
        <v>19</v>
      </c>
      <c r="O42" t="s">
        <v>18</v>
      </c>
      <c r="P42" t="s">
        <v>309</v>
      </c>
      <c r="Q42">
        <v>5</v>
      </c>
      <c r="R42" t="s">
        <v>3877</v>
      </c>
    </row>
    <row r="43" spans="1:18" x14ac:dyDescent="0.2">
      <c r="A43" t="s">
        <v>318</v>
      </c>
      <c r="B43" t="s">
        <v>311</v>
      </c>
      <c r="C43" t="s">
        <v>313</v>
      </c>
      <c r="D43" t="s">
        <v>313</v>
      </c>
      <c r="E43" t="s">
        <v>319</v>
      </c>
      <c r="F43" t="s">
        <v>297</v>
      </c>
      <c r="G43" t="s">
        <v>298</v>
      </c>
      <c r="H43" t="s">
        <v>3872</v>
      </c>
      <c r="I43" t="s">
        <v>320</v>
      </c>
      <c r="J43">
        <v>11986.54</v>
      </c>
      <c r="K43">
        <v>14899.5</v>
      </c>
      <c r="L43">
        <v>17134.45</v>
      </c>
      <c r="M43" t="s">
        <v>316</v>
      </c>
      <c r="N43" t="s">
        <v>19</v>
      </c>
      <c r="O43" t="s">
        <v>19</v>
      </c>
      <c r="P43" t="s">
        <v>317</v>
      </c>
      <c r="Q43">
        <v>2</v>
      </c>
      <c r="R43" t="s">
        <v>3877</v>
      </c>
    </row>
    <row r="44" spans="1:18" x14ac:dyDescent="0.2">
      <c r="A44" t="s">
        <v>323</v>
      </c>
      <c r="B44" t="s">
        <v>119</v>
      </c>
      <c r="C44" t="s">
        <v>121</v>
      </c>
      <c r="D44" t="s">
        <v>122</v>
      </c>
      <c r="E44" t="s">
        <v>324</v>
      </c>
      <c r="F44" t="s">
        <v>325</v>
      </c>
      <c r="G44" t="s">
        <v>326</v>
      </c>
      <c r="H44" s="2" t="s">
        <v>3871</v>
      </c>
      <c r="I44" t="s">
        <v>327</v>
      </c>
      <c r="J44">
        <v>4111.75</v>
      </c>
      <c r="K44">
        <v>11986.54</v>
      </c>
      <c r="L44">
        <v>13784.53</v>
      </c>
      <c r="M44" t="s">
        <v>321</v>
      </c>
      <c r="N44" t="s">
        <v>19</v>
      </c>
      <c r="O44" t="s">
        <v>18</v>
      </c>
      <c r="P44" t="s">
        <v>322</v>
      </c>
      <c r="Q44">
        <v>1</v>
      </c>
      <c r="R44" t="s">
        <v>3877</v>
      </c>
    </row>
    <row r="45" spans="1:18" x14ac:dyDescent="0.2">
      <c r="A45" t="s">
        <v>334</v>
      </c>
      <c r="B45" t="s">
        <v>335</v>
      </c>
      <c r="C45" t="s">
        <v>14</v>
      </c>
      <c r="D45" t="s">
        <v>336</v>
      </c>
      <c r="E45" t="s">
        <v>337</v>
      </c>
      <c r="F45" t="s">
        <v>325</v>
      </c>
      <c r="G45" t="s">
        <v>326</v>
      </c>
      <c r="H45" s="2" t="s">
        <v>3871</v>
      </c>
      <c r="I45" t="s">
        <v>338</v>
      </c>
      <c r="J45">
        <v>2248.1</v>
      </c>
      <c r="K45">
        <v>4111.75</v>
      </c>
      <c r="L45">
        <v>4728.51</v>
      </c>
      <c r="M45" t="s">
        <v>328</v>
      </c>
      <c r="N45" t="s">
        <v>19</v>
      </c>
      <c r="O45" t="s">
        <v>18</v>
      </c>
      <c r="P45" t="s">
        <v>329</v>
      </c>
      <c r="Q45">
        <v>1</v>
      </c>
      <c r="R45" t="s">
        <v>3877</v>
      </c>
    </row>
    <row r="46" spans="1:18" x14ac:dyDescent="0.2">
      <c r="A46" t="s">
        <v>341</v>
      </c>
      <c r="B46" t="s">
        <v>342</v>
      </c>
      <c r="C46" t="s">
        <v>343</v>
      </c>
      <c r="D46" t="s">
        <v>343</v>
      </c>
      <c r="E46" t="s">
        <v>344</v>
      </c>
      <c r="F46" t="s">
        <v>345</v>
      </c>
      <c r="G46" t="s">
        <v>346</v>
      </c>
      <c r="H46" t="s">
        <v>3872</v>
      </c>
      <c r="I46" t="s">
        <v>347</v>
      </c>
      <c r="J46">
        <v>40562.959999999999</v>
      </c>
      <c r="K46">
        <v>2248.1</v>
      </c>
      <c r="L46">
        <v>2585.3200000000002</v>
      </c>
      <c r="M46" t="s">
        <v>339</v>
      </c>
      <c r="N46" t="s">
        <v>19</v>
      </c>
      <c r="O46" t="s">
        <v>18</v>
      </c>
      <c r="P46" t="s">
        <v>340</v>
      </c>
      <c r="Q46">
        <v>0</v>
      </c>
      <c r="R46" t="s">
        <v>3877</v>
      </c>
    </row>
    <row r="47" spans="1:18" x14ac:dyDescent="0.2">
      <c r="A47" t="s">
        <v>350</v>
      </c>
      <c r="B47" t="s">
        <v>148</v>
      </c>
      <c r="C47" t="s">
        <v>150</v>
      </c>
      <c r="D47" t="s">
        <v>150</v>
      </c>
      <c r="E47" t="s">
        <v>351</v>
      </c>
      <c r="F47" t="s">
        <v>345</v>
      </c>
      <c r="G47" t="s">
        <v>346</v>
      </c>
      <c r="H47" s="2" t="s">
        <v>3871</v>
      </c>
      <c r="I47" t="s">
        <v>352</v>
      </c>
      <c r="J47">
        <v>2545.9299999999998</v>
      </c>
      <c r="K47">
        <v>40562.959999999999</v>
      </c>
      <c r="L47">
        <v>46647.4</v>
      </c>
      <c r="M47" t="s">
        <v>348</v>
      </c>
      <c r="N47" t="s">
        <v>19</v>
      </c>
      <c r="O47" t="s">
        <v>18</v>
      </c>
      <c r="P47" t="s">
        <v>349</v>
      </c>
      <c r="Q47">
        <v>0</v>
      </c>
      <c r="R47" t="s">
        <v>3876</v>
      </c>
    </row>
    <row r="48" spans="1:18" x14ac:dyDescent="0.2">
      <c r="A48" t="s">
        <v>355</v>
      </c>
      <c r="B48" t="s">
        <v>198</v>
      </c>
      <c r="C48" t="s">
        <v>14</v>
      </c>
      <c r="D48" t="s">
        <v>200</v>
      </c>
      <c r="E48" t="s">
        <v>356</v>
      </c>
      <c r="F48" t="s">
        <v>345</v>
      </c>
      <c r="G48" t="s">
        <v>346</v>
      </c>
      <c r="H48" t="s">
        <v>3872</v>
      </c>
      <c r="I48" t="s">
        <v>199</v>
      </c>
      <c r="J48">
        <v>8900</v>
      </c>
      <c r="K48">
        <v>2545.9299999999998</v>
      </c>
      <c r="L48">
        <v>2927.82</v>
      </c>
      <c r="M48" t="s">
        <v>353</v>
      </c>
      <c r="N48" t="s">
        <v>19</v>
      </c>
      <c r="O48" t="s">
        <v>19</v>
      </c>
      <c r="P48" t="s">
        <v>354</v>
      </c>
      <c r="Q48">
        <v>0</v>
      </c>
      <c r="R48" t="s">
        <v>3877</v>
      </c>
    </row>
    <row r="49" spans="1:18" x14ac:dyDescent="0.2">
      <c r="A49" t="s">
        <v>359</v>
      </c>
      <c r="B49" t="s">
        <v>360</v>
      </c>
      <c r="C49" t="s">
        <v>362</v>
      </c>
      <c r="D49" t="s">
        <v>168</v>
      </c>
      <c r="E49" t="s">
        <v>363</v>
      </c>
      <c r="F49" t="s">
        <v>364</v>
      </c>
      <c r="G49" t="s">
        <v>365</v>
      </c>
      <c r="H49" t="s">
        <v>3872</v>
      </c>
      <c r="I49" t="s">
        <v>361</v>
      </c>
      <c r="J49">
        <v>8409.9</v>
      </c>
      <c r="K49">
        <v>8900</v>
      </c>
      <c r="L49">
        <v>10235</v>
      </c>
      <c r="M49" t="s">
        <v>357</v>
      </c>
      <c r="N49" t="s">
        <v>19</v>
      </c>
      <c r="O49" t="s">
        <v>18</v>
      </c>
      <c r="P49" t="s">
        <v>358</v>
      </c>
      <c r="Q49">
        <v>5</v>
      </c>
      <c r="R49" t="s">
        <v>3877</v>
      </c>
    </row>
    <row r="50" spans="1:18" x14ac:dyDescent="0.2">
      <c r="A50" t="s">
        <v>368</v>
      </c>
      <c r="B50" t="s">
        <v>335</v>
      </c>
      <c r="C50" t="s">
        <v>14</v>
      </c>
      <c r="D50" t="s">
        <v>336</v>
      </c>
      <c r="E50" t="s">
        <v>369</v>
      </c>
      <c r="F50" t="s">
        <v>364</v>
      </c>
      <c r="G50" t="s">
        <v>365</v>
      </c>
      <c r="H50" s="2" t="s">
        <v>3871</v>
      </c>
      <c r="I50" t="s">
        <v>370</v>
      </c>
      <c r="J50">
        <v>12968.6</v>
      </c>
      <c r="K50">
        <v>8409.9</v>
      </c>
      <c r="L50">
        <v>9671.39</v>
      </c>
      <c r="M50" t="s">
        <v>366</v>
      </c>
      <c r="N50" t="s">
        <v>19</v>
      </c>
      <c r="O50" t="s">
        <v>18</v>
      </c>
      <c r="P50" t="s">
        <v>367</v>
      </c>
      <c r="Q50">
        <v>6</v>
      </c>
      <c r="R50" t="s">
        <v>3876</v>
      </c>
    </row>
    <row r="51" spans="1:18" x14ac:dyDescent="0.2">
      <c r="A51" t="s">
        <v>373</v>
      </c>
      <c r="B51" t="s">
        <v>148</v>
      </c>
      <c r="C51" t="s">
        <v>253</v>
      </c>
      <c r="D51" t="s">
        <v>253</v>
      </c>
      <c r="E51" t="s">
        <v>374</v>
      </c>
      <c r="F51" t="s">
        <v>364</v>
      </c>
      <c r="G51" t="s">
        <v>365</v>
      </c>
      <c r="H51" t="s">
        <v>3872</v>
      </c>
      <c r="I51" t="s">
        <v>149</v>
      </c>
      <c r="J51">
        <v>74144.83</v>
      </c>
      <c r="K51">
        <v>12968.6</v>
      </c>
      <c r="L51">
        <v>14913.89</v>
      </c>
      <c r="M51" t="s">
        <v>371</v>
      </c>
      <c r="N51" t="s">
        <v>19</v>
      </c>
      <c r="O51" t="s">
        <v>19</v>
      </c>
      <c r="P51" t="s">
        <v>372</v>
      </c>
      <c r="Q51">
        <v>8</v>
      </c>
      <c r="R51" t="s">
        <v>3876</v>
      </c>
    </row>
    <row r="52" spans="1:18" x14ac:dyDescent="0.2">
      <c r="A52" t="s">
        <v>377</v>
      </c>
      <c r="B52" t="s">
        <v>148</v>
      </c>
      <c r="C52" t="s">
        <v>253</v>
      </c>
      <c r="D52" t="s">
        <v>253</v>
      </c>
      <c r="E52" t="s">
        <v>378</v>
      </c>
      <c r="F52" t="s">
        <v>364</v>
      </c>
      <c r="G52" t="s">
        <v>365</v>
      </c>
      <c r="H52" t="s">
        <v>3872</v>
      </c>
      <c r="I52" t="s">
        <v>149</v>
      </c>
      <c r="J52">
        <v>94952.51</v>
      </c>
      <c r="K52">
        <v>74144.83</v>
      </c>
      <c r="L52">
        <v>85266.57</v>
      </c>
      <c r="M52" t="s">
        <v>375</v>
      </c>
      <c r="N52" t="s">
        <v>18</v>
      </c>
      <c r="O52" t="s">
        <v>19</v>
      </c>
      <c r="P52" t="s">
        <v>376</v>
      </c>
      <c r="Q52">
        <v>8</v>
      </c>
      <c r="R52" t="s">
        <v>3876</v>
      </c>
    </row>
    <row r="53" spans="1:18" x14ac:dyDescent="0.2">
      <c r="A53" t="s">
        <v>381</v>
      </c>
      <c r="B53" t="s">
        <v>382</v>
      </c>
      <c r="C53" t="s">
        <v>384</v>
      </c>
      <c r="D53" t="s">
        <v>384</v>
      </c>
      <c r="E53" t="s">
        <v>386</v>
      </c>
      <c r="F53" t="s">
        <v>23</v>
      </c>
      <c r="G53" t="s">
        <v>387</v>
      </c>
      <c r="H53" t="s">
        <v>3872</v>
      </c>
      <c r="I53" t="s">
        <v>383</v>
      </c>
      <c r="J53">
        <v>70076.95</v>
      </c>
      <c r="K53">
        <v>94952.51</v>
      </c>
      <c r="L53">
        <v>109195.4</v>
      </c>
      <c r="M53" t="s">
        <v>379</v>
      </c>
      <c r="N53" t="s">
        <v>19</v>
      </c>
      <c r="O53" t="s">
        <v>19</v>
      </c>
      <c r="P53" t="s">
        <v>380</v>
      </c>
      <c r="Q53">
        <v>7</v>
      </c>
      <c r="R53" t="s">
        <v>3877</v>
      </c>
    </row>
    <row r="54" spans="1:18" x14ac:dyDescent="0.2">
      <c r="A54" t="s">
        <v>392</v>
      </c>
      <c r="B54" t="s">
        <v>393</v>
      </c>
      <c r="C54" t="s">
        <v>395</v>
      </c>
      <c r="D54" t="s">
        <v>395</v>
      </c>
      <c r="E54" t="s">
        <v>396</v>
      </c>
      <c r="F54" t="s">
        <v>23</v>
      </c>
      <c r="G54" t="s">
        <v>387</v>
      </c>
      <c r="H54" t="s">
        <v>3872</v>
      </c>
      <c r="I54" t="s">
        <v>394</v>
      </c>
      <c r="J54">
        <v>50022.28</v>
      </c>
      <c r="K54">
        <v>70076.95</v>
      </c>
      <c r="L54">
        <v>80588.490000000005</v>
      </c>
      <c r="M54" t="s">
        <v>388</v>
      </c>
      <c r="N54" t="s">
        <v>19</v>
      </c>
      <c r="O54" t="s">
        <v>18</v>
      </c>
      <c r="P54" t="s">
        <v>389</v>
      </c>
      <c r="Q54">
        <v>4</v>
      </c>
      <c r="R54" t="s">
        <v>3877</v>
      </c>
    </row>
    <row r="55" spans="1:18" x14ac:dyDescent="0.2">
      <c r="A55" t="s">
        <v>399</v>
      </c>
      <c r="B55" t="s">
        <v>382</v>
      </c>
      <c r="C55" t="s">
        <v>384</v>
      </c>
      <c r="D55" t="s">
        <v>384</v>
      </c>
      <c r="E55" t="s">
        <v>400</v>
      </c>
      <c r="F55" t="s">
        <v>23</v>
      </c>
      <c r="G55" t="s">
        <v>387</v>
      </c>
      <c r="H55" t="s">
        <v>3872</v>
      </c>
      <c r="I55" t="s">
        <v>383</v>
      </c>
      <c r="J55">
        <v>16877.599999999999</v>
      </c>
      <c r="K55">
        <v>50022.28</v>
      </c>
      <c r="L55">
        <v>57525.63</v>
      </c>
      <c r="M55" t="s">
        <v>397</v>
      </c>
      <c r="N55" t="s">
        <v>19</v>
      </c>
      <c r="O55" t="s">
        <v>18</v>
      </c>
      <c r="P55" t="s">
        <v>398</v>
      </c>
      <c r="Q55">
        <v>6</v>
      </c>
      <c r="R55" t="s">
        <v>3877</v>
      </c>
    </row>
    <row r="56" spans="1:18" x14ac:dyDescent="0.2">
      <c r="A56" t="s">
        <v>403</v>
      </c>
      <c r="B56" t="s">
        <v>404</v>
      </c>
      <c r="C56" t="s">
        <v>406</v>
      </c>
      <c r="D56" t="s">
        <v>406</v>
      </c>
      <c r="E56" t="s">
        <v>407</v>
      </c>
      <c r="F56" t="s">
        <v>58</v>
      </c>
      <c r="G56" t="s">
        <v>408</v>
      </c>
      <c r="H56" t="s">
        <v>3872</v>
      </c>
      <c r="I56" t="s">
        <v>405</v>
      </c>
      <c r="J56">
        <v>11325.07</v>
      </c>
      <c r="K56">
        <v>16877.599999999999</v>
      </c>
      <c r="L56">
        <v>19409.240000000002</v>
      </c>
      <c r="M56" t="s">
        <v>401</v>
      </c>
      <c r="N56" t="s">
        <v>19</v>
      </c>
      <c r="O56" t="s">
        <v>18</v>
      </c>
      <c r="P56" t="s">
        <v>402</v>
      </c>
      <c r="Q56">
        <v>2</v>
      </c>
      <c r="R56" t="s">
        <v>3876</v>
      </c>
    </row>
    <row r="57" spans="1:18" x14ac:dyDescent="0.2">
      <c r="A57" t="s">
        <v>411</v>
      </c>
      <c r="B57" t="s">
        <v>74</v>
      </c>
      <c r="C57" t="s">
        <v>76</v>
      </c>
      <c r="D57" t="s">
        <v>77</v>
      </c>
      <c r="E57" t="s">
        <v>412</v>
      </c>
      <c r="F57" t="s">
        <v>45</v>
      </c>
      <c r="G57" t="s">
        <v>413</v>
      </c>
      <c r="H57" t="s">
        <v>3872</v>
      </c>
      <c r="I57" t="s">
        <v>75</v>
      </c>
      <c r="J57">
        <v>3424</v>
      </c>
      <c r="K57">
        <v>11325.07</v>
      </c>
      <c r="L57">
        <v>13023.83</v>
      </c>
      <c r="M57" t="s">
        <v>409</v>
      </c>
      <c r="N57" t="s">
        <v>19</v>
      </c>
      <c r="O57" t="s">
        <v>19</v>
      </c>
      <c r="P57" t="s">
        <v>410</v>
      </c>
      <c r="Q57">
        <v>2</v>
      </c>
      <c r="R57" t="s">
        <v>3877</v>
      </c>
    </row>
    <row r="58" spans="1:18" x14ac:dyDescent="0.2">
      <c r="A58" t="s">
        <v>416</v>
      </c>
      <c r="B58" t="s">
        <v>417</v>
      </c>
      <c r="C58" t="s">
        <v>419</v>
      </c>
      <c r="D58" t="s">
        <v>168</v>
      </c>
      <c r="E58" t="s">
        <v>420</v>
      </c>
      <c r="F58" t="s">
        <v>421</v>
      </c>
      <c r="G58" t="s">
        <v>422</v>
      </c>
      <c r="H58" t="s">
        <v>3872</v>
      </c>
      <c r="I58" t="s">
        <v>418</v>
      </c>
      <c r="J58">
        <v>9120.2099999999991</v>
      </c>
      <c r="K58">
        <v>3424</v>
      </c>
      <c r="L58">
        <v>3937.6</v>
      </c>
      <c r="M58" t="s">
        <v>414</v>
      </c>
      <c r="N58" t="s">
        <v>19</v>
      </c>
      <c r="O58" t="s">
        <v>18</v>
      </c>
      <c r="P58" t="s">
        <v>415</v>
      </c>
      <c r="Q58">
        <v>1</v>
      </c>
      <c r="R58" t="s">
        <v>3877</v>
      </c>
    </row>
    <row r="59" spans="1:18" x14ac:dyDescent="0.2">
      <c r="A59" t="s">
        <v>425</v>
      </c>
      <c r="B59" t="s">
        <v>426</v>
      </c>
      <c r="C59" t="s">
        <v>14</v>
      </c>
      <c r="D59" t="s">
        <v>427</v>
      </c>
      <c r="E59" t="s">
        <v>428</v>
      </c>
      <c r="F59" t="s">
        <v>45</v>
      </c>
      <c r="G59" t="s">
        <v>413</v>
      </c>
      <c r="H59" s="2" t="s">
        <v>3871</v>
      </c>
      <c r="I59" t="s">
        <v>429</v>
      </c>
      <c r="J59">
        <v>9626.2099999999991</v>
      </c>
      <c r="K59">
        <v>9120.2099999999991</v>
      </c>
      <c r="L59">
        <v>10488.25</v>
      </c>
      <c r="M59" t="s">
        <v>423</v>
      </c>
      <c r="N59" t="s">
        <v>19</v>
      </c>
      <c r="O59" t="s">
        <v>18</v>
      </c>
      <c r="P59" t="s">
        <v>424</v>
      </c>
      <c r="Q59">
        <v>1</v>
      </c>
      <c r="R59" t="s">
        <v>3877</v>
      </c>
    </row>
    <row r="60" spans="1:18" x14ac:dyDescent="0.2">
      <c r="A60" t="s">
        <v>432</v>
      </c>
      <c r="B60" t="s">
        <v>119</v>
      </c>
      <c r="C60" t="s">
        <v>121</v>
      </c>
      <c r="D60" t="s">
        <v>122</v>
      </c>
      <c r="E60" t="s">
        <v>433</v>
      </c>
      <c r="F60" t="s">
        <v>434</v>
      </c>
      <c r="G60" t="s">
        <v>435</v>
      </c>
      <c r="H60" s="2" t="s">
        <v>3871</v>
      </c>
      <c r="I60" t="s">
        <v>436</v>
      </c>
      <c r="J60">
        <v>3224.69</v>
      </c>
      <c r="K60">
        <v>9626.2099999999991</v>
      </c>
      <c r="L60">
        <v>11070.15</v>
      </c>
      <c r="M60" t="s">
        <v>430</v>
      </c>
      <c r="N60" t="s">
        <v>19</v>
      </c>
      <c r="O60" t="s">
        <v>18</v>
      </c>
      <c r="P60" t="s">
        <v>431</v>
      </c>
      <c r="Q60">
        <v>1</v>
      </c>
      <c r="R60" t="s">
        <v>3877</v>
      </c>
    </row>
    <row r="61" spans="1:18" x14ac:dyDescent="0.2">
      <c r="A61" t="s">
        <v>439</v>
      </c>
      <c r="B61" t="s">
        <v>440</v>
      </c>
      <c r="C61" t="s">
        <v>441</v>
      </c>
      <c r="D61" t="s">
        <v>168</v>
      </c>
      <c r="E61" t="s">
        <v>442</v>
      </c>
      <c r="F61" t="s">
        <v>434</v>
      </c>
      <c r="G61" t="s">
        <v>435</v>
      </c>
      <c r="H61" s="2" t="s">
        <v>3871</v>
      </c>
      <c r="I61" t="s">
        <v>443</v>
      </c>
      <c r="J61">
        <v>6074.21</v>
      </c>
      <c r="K61">
        <v>3224.69</v>
      </c>
      <c r="L61">
        <v>3708.39</v>
      </c>
      <c r="M61" t="s">
        <v>437</v>
      </c>
      <c r="N61" t="s">
        <v>19</v>
      </c>
      <c r="O61" t="s">
        <v>18</v>
      </c>
      <c r="P61" t="s">
        <v>438</v>
      </c>
      <c r="Q61">
        <v>1</v>
      </c>
      <c r="R61" t="s">
        <v>3877</v>
      </c>
    </row>
    <row r="62" spans="1:18" x14ac:dyDescent="0.2">
      <c r="A62" t="s">
        <v>446</v>
      </c>
      <c r="B62" t="s">
        <v>330</v>
      </c>
      <c r="C62" t="s">
        <v>113</v>
      </c>
      <c r="D62" t="s">
        <v>447</v>
      </c>
      <c r="E62" t="s">
        <v>448</v>
      </c>
      <c r="F62" t="s">
        <v>421</v>
      </c>
      <c r="G62" t="s">
        <v>422</v>
      </c>
      <c r="H62" t="s">
        <v>3872</v>
      </c>
      <c r="I62" t="s">
        <v>331</v>
      </c>
      <c r="J62">
        <v>37227.31</v>
      </c>
      <c r="K62">
        <v>6074.21</v>
      </c>
      <c r="L62">
        <v>6985.35</v>
      </c>
      <c r="M62" t="s">
        <v>444</v>
      </c>
      <c r="N62" t="s">
        <v>19</v>
      </c>
      <c r="O62" t="s">
        <v>18</v>
      </c>
      <c r="P62" t="s">
        <v>445</v>
      </c>
      <c r="Q62">
        <v>2</v>
      </c>
      <c r="R62" t="s">
        <v>3877</v>
      </c>
    </row>
    <row r="63" spans="1:18" x14ac:dyDescent="0.2">
      <c r="A63" t="s">
        <v>451</v>
      </c>
      <c r="B63" t="s">
        <v>452</v>
      </c>
      <c r="C63" t="s">
        <v>454</v>
      </c>
      <c r="D63" t="s">
        <v>168</v>
      </c>
      <c r="E63" t="s">
        <v>455</v>
      </c>
      <c r="F63" t="s">
        <v>421</v>
      </c>
      <c r="G63" t="s">
        <v>422</v>
      </c>
      <c r="H63" t="s">
        <v>3872</v>
      </c>
      <c r="I63" t="s">
        <v>453</v>
      </c>
      <c r="J63">
        <v>3175</v>
      </c>
      <c r="K63">
        <v>37227.31</v>
      </c>
      <c r="L63">
        <v>42811.42</v>
      </c>
      <c r="M63" t="s">
        <v>449</v>
      </c>
      <c r="N63" t="s">
        <v>19</v>
      </c>
      <c r="O63" t="s">
        <v>19</v>
      </c>
      <c r="P63" t="s">
        <v>450</v>
      </c>
      <c r="Q63">
        <v>0</v>
      </c>
      <c r="R63" t="s">
        <v>3876</v>
      </c>
    </row>
    <row r="64" spans="1:18" x14ac:dyDescent="0.2">
      <c r="A64" t="s">
        <v>458</v>
      </c>
      <c r="B64" t="s">
        <v>266</v>
      </c>
      <c r="C64" t="s">
        <v>268</v>
      </c>
      <c r="D64" t="s">
        <v>268</v>
      </c>
      <c r="E64" t="s">
        <v>459</v>
      </c>
      <c r="F64" t="s">
        <v>421</v>
      </c>
      <c r="G64" t="s">
        <v>422</v>
      </c>
      <c r="H64" t="s">
        <v>3872</v>
      </c>
      <c r="I64" t="s">
        <v>267</v>
      </c>
      <c r="J64">
        <v>2248.1</v>
      </c>
      <c r="K64">
        <v>3175</v>
      </c>
      <c r="L64">
        <v>3651.25</v>
      </c>
      <c r="M64" t="s">
        <v>456</v>
      </c>
      <c r="N64" t="s">
        <v>19</v>
      </c>
      <c r="O64" t="s">
        <v>19</v>
      </c>
      <c r="P64" t="s">
        <v>457</v>
      </c>
      <c r="Q64">
        <v>1</v>
      </c>
      <c r="R64" t="s">
        <v>3876</v>
      </c>
    </row>
    <row r="65" spans="1:18" x14ac:dyDescent="0.2">
      <c r="A65" t="s">
        <v>462</v>
      </c>
      <c r="B65" t="s">
        <v>49</v>
      </c>
      <c r="C65" t="s">
        <v>51</v>
      </c>
      <c r="D65" t="s">
        <v>51</v>
      </c>
      <c r="E65" t="s">
        <v>463</v>
      </c>
      <c r="F65" t="s">
        <v>421</v>
      </c>
      <c r="G65" t="s">
        <v>422</v>
      </c>
      <c r="H65" t="s">
        <v>3872</v>
      </c>
      <c r="I65" t="s">
        <v>50</v>
      </c>
      <c r="J65">
        <v>2248.1</v>
      </c>
      <c r="K65">
        <v>2248.1</v>
      </c>
      <c r="L65">
        <v>2585.3200000000002</v>
      </c>
      <c r="M65" t="s">
        <v>460</v>
      </c>
      <c r="N65" t="s">
        <v>19</v>
      </c>
      <c r="O65" t="s">
        <v>19</v>
      </c>
      <c r="P65" t="s">
        <v>461</v>
      </c>
      <c r="Q65">
        <v>1</v>
      </c>
      <c r="R65" t="s">
        <v>3877</v>
      </c>
    </row>
    <row r="66" spans="1:18" x14ac:dyDescent="0.2">
      <c r="A66" t="s">
        <v>466</v>
      </c>
      <c r="B66" t="s">
        <v>330</v>
      </c>
      <c r="C66" t="s">
        <v>467</v>
      </c>
      <c r="D66" t="s">
        <v>467</v>
      </c>
      <c r="E66" t="s">
        <v>468</v>
      </c>
      <c r="F66" t="s">
        <v>154</v>
      </c>
      <c r="G66" t="s">
        <v>469</v>
      </c>
      <c r="H66" t="s">
        <v>3872</v>
      </c>
      <c r="I66" t="s">
        <v>331</v>
      </c>
      <c r="J66">
        <v>4406.2</v>
      </c>
      <c r="K66">
        <v>2248.1</v>
      </c>
      <c r="L66">
        <v>2585.3200000000002</v>
      </c>
      <c r="M66" t="s">
        <v>464</v>
      </c>
      <c r="N66" t="s">
        <v>19</v>
      </c>
      <c r="O66" t="s">
        <v>18</v>
      </c>
      <c r="P66" t="s">
        <v>465</v>
      </c>
      <c r="Q66">
        <v>2</v>
      </c>
      <c r="R66" t="s">
        <v>3876</v>
      </c>
    </row>
    <row r="67" spans="1:18" x14ac:dyDescent="0.2">
      <c r="A67" t="s">
        <v>472</v>
      </c>
      <c r="B67" t="s">
        <v>473</v>
      </c>
      <c r="C67" t="s">
        <v>475</v>
      </c>
      <c r="D67" t="s">
        <v>168</v>
      </c>
      <c r="E67" t="s">
        <v>476</v>
      </c>
      <c r="F67" t="s">
        <v>154</v>
      </c>
      <c r="G67" t="s">
        <v>469</v>
      </c>
      <c r="H67" s="2" t="s">
        <v>3871</v>
      </c>
      <c r="I67" t="s">
        <v>477</v>
      </c>
      <c r="J67">
        <v>6074.21</v>
      </c>
      <c r="K67">
        <v>4406.2</v>
      </c>
      <c r="L67">
        <v>5067.1400000000003</v>
      </c>
      <c r="M67" t="s">
        <v>470</v>
      </c>
      <c r="N67" t="s">
        <v>19</v>
      </c>
      <c r="O67" t="s">
        <v>19</v>
      </c>
      <c r="P67" t="s">
        <v>471</v>
      </c>
      <c r="Q67">
        <v>1</v>
      </c>
      <c r="R67" t="s">
        <v>3877</v>
      </c>
    </row>
    <row r="68" spans="1:18" x14ac:dyDescent="0.2">
      <c r="A68" t="s">
        <v>480</v>
      </c>
      <c r="B68" t="s">
        <v>481</v>
      </c>
      <c r="C68" t="s">
        <v>483</v>
      </c>
      <c r="D68" t="s">
        <v>483</v>
      </c>
      <c r="E68" t="s">
        <v>484</v>
      </c>
      <c r="F68" t="s">
        <v>183</v>
      </c>
      <c r="G68" t="s">
        <v>485</v>
      </c>
      <c r="H68" t="s">
        <v>3872</v>
      </c>
      <c r="I68" t="s">
        <v>482</v>
      </c>
      <c r="J68">
        <v>5043.37</v>
      </c>
      <c r="K68">
        <v>6074.21</v>
      </c>
      <c r="L68">
        <v>6985.35</v>
      </c>
      <c r="M68" t="s">
        <v>478</v>
      </c>
      <c r="N68" t="s">
        <v>19</v>
      </c>
      <c r="O68" t="s">
        <v>18</v>
      </c>
      <c r="P68" t="s">
        <v>479</v>
      </c>
      <c r="Q68">
        <v>1</v>
      </c>
      <c r="R68" t="s">
        <v>3877</v>
      </c>
    </row>
    <row r="69" spans="1:18" x14ac:dyDescent="0.2">
      <c r="A69" t="s">
        <v>488</v>
      </c>
      <c r="B69" t="s">
        <v>489</v>
      </c>
      <c r="C69" t="s">
        <v>14</v>
      </c>
      <c r="D69" t="s">
        <v>491</v>
      </c>
      <c r="E69" t="s">
        <v>492</v>
      </c>
      <c r="F69" t="s">
        <v>206</v>
      </c>
      <c r="G69" t="s">
        <v>493</v>
      </c>
      <c r="H69" t="s">
        <v>3872</v>
      </c>
      <c r="I69" t="s">
        <v>490</v>
      </c>
      <c r="J69">
        <v>13034.93</v>
      </c>
      <c r="K69">
        <v>5043.37</v>
      </c>
      <c r="L69">
        <v>5799.88</v>
      </c>
      <c r="M69" t="s">
        <v>486</v>
      </c>
      <c r="N69" t="s">
        <v>19</v>
      </c>
      <c r="O69" t="s">
        <v>18</v>
      </c>
      <c r="P69" t="s">
        <v>487</v>
      </c>
      <c r="Q69">
        <v>1</v>
      </c>
      <c r="R69" t="s">
        <v>3876</v>
      </c>
    </row>
    <row r="70" spans="1:18" x14ac:dyDescent="0.2">
      <c r="A70" t="s">
        <v>496</v>
      </c>
      <c r="B70" t="s">
        <v>497</v>
      </c>
      <c r="C70" t="s">
        <v>84</v>
      </c>
      <c r="D70" t="s">
        <v>499</v>
      </c>
      <c r="E70" t="s">
        <v>500</v>
      </c>
      <c r="F70" t="s">
        <v>213</v>
      </c>
      <c r="G70" t="s">
        <v>501</v>
      </c>
      <c r="H70" t="s">
        <v>3872</v>
      </c>
      <c r="I70" t="s">
        <v>498</v>
      </c>
      <c r="J70">
        <v>35842.1</v>
      </c>
      <c r="K70">
        <v>13034.93</v>
      </c>
      <c r="L70">
        <v>14990.18</v>
      </c>
      <c r="M70" t="s">
        <v>494</v>
      </c>
      <c r="N70" t="s">
        <v>19</v>
      </c>
      <c r="O70" t="s">
        <v>19</v>
      </c>
      <c r="P70" t="s">
        <v>495</v>
      </c>
      <c r="Q70">
        <v>2</v>
      </c>
      <c r="R70" t="s">
        <v>3876</v>
      </c>
    </row>
    <row r="71" spans="1:18" x14ac:dyDescent="0.2">
      <c r="A71" t="s">
        <v>504</v>
      </c>
      <c r="B71" t="s">
        <v>505</v>
      </c>
      <c r="C71" t="s">
        <v>507</v>
      </c>
      <c r="D71" t="s">
        <v>168</v>
      </c>
      <c r="E71" t="s">
        <v>508</v>
      </c>
      <c r="F71" t="s">
        <v>206</v>
      </c>
      <c r="G71" t="s">
        <v>493</v>
      </c>
      <c r="H71" t="s">
        <v>3872</v>
      </c>
      <c r="I71" t="s">
        <v>506</v>
      </c>
      <c r="J71">
        <v>2128.1</v>
      </c>
      <c r="K71">
        <v>35842.1</v>
      </c>
      <c r="L71">
        <v>41218.42</v>
      </c>
      <c r="M71" t="s">
        <v>502</v>
      </c>
      <c r="N71" t="s">
        <v>19</v>
      </c>
      <c r="O71" t="s">
        <v>19</v>
      </c>
      <c r="P71" t="s">
        <v>503</v>
      </c>
      <c r="Q71">
        <v>1</v>
      </c>
      <c r="R71" t="s">
        <v>3876</v>
      </c>
    </row>
    <row r="72" spans="1:18" x14ac:dyDescent="0.2">
      <c r="A72" t="s">
        <v>511</v>
      </c>
      <c r="B72" t="s">
        <v>512</v>
      </c>
      <c r="C72" t="s">
        <v>14</v>
      </c>
      <c r="D72" t="s">
        <v>14</v>
      </c>
      <c r="E72" t="s">
        <v>514</v>
      </c>
      <c r="F72" t="s">
        <v>213</v>
      </c>
      <c r="G72" t="s">
        <v>501</v>
      </c>
      <c r="H72" s="2" t="s">
        <v>3871</v>
      </c>
      <c r="I72" t="s">
        <v>513</v>
      </c>
      <c r="J72">
        <v>13034.93</v>
      </c>
      <c r="K72">
        <v>2128.1</v>
      </c>
      <c r="L72">
        <v>2447.3200000000002</v>
      </c>
      <c r="M72" t="s">
        <v>509</v>
      </c>
      <c r="N72" t="s">
        <v>19</v>
      </c>
      <c r="O72" t="s">
        <v>19</v>
      </c>
      <c r="P72" t="s">
        <v>510</v>
      </c>
      <c r="Q72">
        <v>1</v>
      </c>
      <c r="R72" t="s">
        <v>3876</v>
      </c>
    </row>
    <row r="73" spans="1:18" x14ac:dyDescent="0.2">
      <c r="A73" t="s">
        <v>517</v>
      </c>
      <c r="B73" t="s">
        <v>518</v>
      </c>
      <c r="C73" t="s">
        <v>14</v>
      </c>
      <c r="D73" t="s">
        <v>14</v>
      </c>
      <c r="E73" t="s">
        <v>519</v>
      </c>
      <c r="F73" t="s">
        <v>520</v>
      </c>
      <c r="G73" t="s">
        <v>521</v>
      </c>
      <c r="H73" s="2" t="s">
        <v>3871</v>
      </c>
      <c r="I73" t="s">
        <v>522</v>
      </c>
      <c r="J73">
        <v>4029.44</v>
      </c>
      <c r="K73">
        <v>13034.93</v>
      </c>
      <c r="L73">
        <v>14990.18</v>
      </c>
      <c r="M73" t="s">
        <v>515</v>
      </c>
      <c r="N73" t="s">
        <v>19</v>
      </c>
      <c r="O73" t="s">
        <v>19</v>
      </c>
      <c r="P73" t="s">
        <v>516</v>
      </c>
      <c r="Q73">
        <v>1</v>
      </c>
      <c r="R73" t="s">
        <v>3876</v>
      </c>
    </row>
    <row r="74" spans="1:18" x14ac:dyDescent="0.2">
      <c r="A74" t="s">
        <v>525</v>
      </c>
      <c r="B74" t="s">
        <v>526</v>
      </c>
      <c r="C74" t="s">
        <v>528</v>
      </c>
      <c r="D74" t="s">
        <v>528</v>
      </c>
      <c r="E74" t="s">
        <v>529</v>
      </c>
      <c r="F74" t="s">
        <v>530</v>
      </c>
      <c r="G74" t="s">
        <v>531</v>
      </c>
      <c r="H74" t="s">
        <v>3872</v>
      </c>
      <c r="I74" t="s">
        <v>527</v>
      </c>
      <c r="J74">
        <v>73190.83</v>
      </c>
      <c r="K74">
        <v>4029.44</v>
      </c>
      <c r="L74">
        <v>4633.8599999999997</v>
      </c>
      <c r="M74" t="s">
        <v>523</v>
      </c>
      <c r="N74" t="s">
        <v>19</v>
      </c>
      <c r="O74" t="s">
        <v>19</v>
      </c>
      <c r="P74" t="s">
        <v>524</v>
      </c>
      <c r="Q74">
        <v>6</v>
      </c>
      <c r="R74" t="s">
        <v>3876</v>
      </c>
    </row>
    <row r="75" spans="1:18" x14ac:dyDescent="0.2">
      <c r="A75" t="s">
        <v>534</v>
      </c>
      <c r="B75" t="s">
        <v>535</v>
      </c>
      <c r="C75" t="s">
        <v>537</v>
      </c>
      <c r="D75" t="s">
        <v>168</v>
      </c>
      <c r="E75" t="s">
        <v>538</v>
      </c>
      <c r="F75" t="s">
        <v>520</v>
      </c>
      <c r="G75" t="s">
        <v>521</v>
      </c>
      <c r="H75" t="s">
        <v>3872</v>
      </c>
      <c r="I75" t="s">
        <v>536</v>
      </c>
      <c r="J75">
        <v>3682.65</v>
      </c>
      <c r="K75">
        <v>73190.83</v>
      </c>
      <c r="L75">
        <v>84169.45</v>
      </c>
      <c r="M75" t="s">
        <v>532</v>
      </c>
      <c r="N75" t="s">
        <v>19</v>
      </c>
      <c r="O75" t="s">
        <v>19</v>
      </c>
      <c r="P75" t="s">
        <v>533</v>
      </c>
      <c r="Q75">
        <v>2</v>
      </c>
      <c r="R75" t="s">
        <v>3876</v>
      </c>
    </row>
    <row r="76" spans="1:18" x14ac:dyDescent="0.2">
      <c r="A76" t="s">
        <v>541</v>
      </c>
      <c r="B76" t="s">
        <v>542</v>
      </c>
      <c r="C76" t="s">
        <v>544</v>
      </c>
      <c r="D76" t="s">
        <v>168</v>
      </c>
      <c r="E76" t="s">
        <v>220</v>
      </c>
      <c r="F76" t="s">
        <v>213</v>
      </c>
      <c r="G76" t="s">
        <v>501</v>
      </c>
      <c r="H76" s="2" t="s">
        <v>3871</v>
      </c>
      <c r="I76" t="s">
        <v>543</v>
      </c>
      <c r="J76">
        <v>5165.88</v>
      </c>
      <c r="K76">
        <v>3682.65</v>
      </c>
      <c r="L76">
        <v>4235.05</v>
      </c>
      <c r="M76" t="s">
        <v>539</v>
      </c>
      <c r="N76" t="s">
        <v>19</v>
      </c>
      <c r="O76" t="s">
        <v>18</v>
      </c>
      <c r="P76" t="s">
        <v>540</v>
      </c>
      <c r="Q76">
        <v>2</v>
      </c>
      <c r="R76" t="s">
        <v>3876</v>
      </c>
    </row>
    <row r="77" spans="1:18" x14ac:dyDescent="0.2">
      <c r="A77" t="s">
        <v>547</v>
      </c>
      <c r="B77" t="s">
        <v>273</v>
      </c>
      <c r="C77" t="s">
        <v>275</v>
      </c>
      <c r="D77" t="s">
        <v>276</v>
      </c>
      <c r="E77" t="s">
        <v>548</v>
      </c>
      <c r="F77" t="s">
        <v>213</v>
      </c>
      <c r="G77" t="s">
        <v>549</v>
      </c>
      <c r="H77" s="2" t="s">
        <v>3871</v>
      </c>
      <c r="I77" t="s">
        <v>274</v>
      </c>
      <c r="J77">
        <v>10372.93</v>
      </c>
      <c r="K77">
        <v>5165.88</v>
      </c>
      <c r="L77">
        <v>5940.76</v>
      </c>
      <c r="M77" t="s">
        <v>545</v>
      </c>
      <c r="N77" t="s">
        <v>19</v>
      </c>
      <c r="O77" t="s">
        <v>19</v>
      </c>
      <c r="P77" t="s">
        <v>546</v>
      </c>
      <c r="Q77">
        <v>1</v>
      </c>
      <c r="R77" t="s">
        <v>3877</v>
      </c>
    </row>
    <row r="78" spans="1:18" x14ac:dyDescent="0.2">
      <c r="A78" t="s">
        <v>552</v>
      </c>
      <c r="B78" t="s">
        <v>245</v>
      </c>
      <c r="C78" t="s">
        <v>553</v>
      </c>
      <c r="D78" t="s">
        <v>553</v>
      </c>
      <c r="E78" t="s">
        <v>554</v>
      </c>
      <c r="F78" t="s">
        <v>213</v>
      </c>
      <c r="G78" t="s">
        <v>549</v>
      </c>
      <c r="H78" t="s">
        <v>3872</v>
      </c>
      <c r="I78" t="s">
        <v>246</v>
      </c>
      <c r="J78">
        <v>4406.2</v>
      </c>
      <c r="K78">
        <v>10372.93</v>
      </c>
      <c r="L78">
        <v>11928.87</v>
      </c>
      <c r="M78" t="s">
        <v>550</v>
      </c>
      <c r="N78" t="s">
        <v>19</v>
      </c>
      <c r="O78" t="s">
        <v>18</v>
      </c>
      <c r="P78" t="s">
        <v>551</v>
      </c>
      <c r="Q78">
        <v>2</v>
      </c>
      <c r="R78" t="s">
        <v>3876</v>
      </c>
    </row>
    <row r="79" spans="1:18" x14ac:dyDescent="0.2">
      <c r="A79" t="s">
        <v>557</v>
      </c>
      <c r="B79" t="s">
        <v>245</v>
      </c>
      <c r="C79" t="s">
        <v>558</v>
      </c>
      <c r="D79" t="s">
        <v>559</v>
      </c>
      <c r="E79" t="s">
        <v>560</v>
      </c>
      <c r="F79" t="s">
        <v>222</v>
      </c>
      <c r="G79" t="s">
        <v>501</v>
      </c>
      <c r="H79" t="s">
        <v>3872</v>
      </c>
      <c r="I79" t="s">
        <v>246</v>
      </c>
      <c r="J79">
        <v>15146.7</v>
      </c>
      <c r="K79">
        <v>4406.2</v>
      </c>
      <c r="L79">
        <v>5067.1400000000003</v>
      </c>
      <c r="M79" t="s">
        <v>555</v>
      </c>
      <c r="N79" t="s">
        <v>19</v>
      </c>
      <c r="O79" t="s">
        <v>19</v>
      </c>
      <c r="P79" t="s">
        <v>556</v>
      </c>
      <c r="Q79">
        <v>7</v>
      </c>
      <c r="R79" t="s">
        <v>3876</v>
      </c>
    </row>
    <row r="80" spans="1:18" x14ac:dyDescent="0.2">
      <c r="A80" t="s">
        <v>563</v>
      </c>
      <c r="B80" t="s">
        <v>245</v>
      </c>
      <c r="C80" t="s">
        <v>113</v>
      </c>
      <c r="D80" t="s">
        <v>564</v>
      </c>
      <c r="E80" t="s">
        <v>565</v>
      </c>
      <c r="F80" t="s">
        <v>222</v>
      </c>
      <c r="G80" t="s">
        <v>501</v>
      </c>
      <c r="H80" t="s">
        <v>3872</v>
      </c>
      <c r="I80" t="s">
        <v>246</v>
      </c>
      <c r="J80">
        <v>19432.900000000001</v>
      </c>
      <c r="K80">
        <v>15146.7</v>
      </c>
      <c r="L80">
        <v>17418.740000000002</v>
      </c>
      <c r="M80" t="s">
        <v>561</v>
      </c>
      <c r="N80" t="s">
        <v>19</v>
      </c>
      <c r="O80" t="s">
        <v>19</v>
      </c>
      <c r="P80" t="s">
        <v>562</v>
      </c>
      <c r="Q80">
        <v>9</v>
      </c>
      <c r="R80" t="s">
        <v>3876</v>
      </c>
    </row>
    <row r="81" spans="1:18" x14ac:dyDescent="0.2">
      <c r="A81" t="s">
        <v>568</v>
      </c>
      <c r="B81" t="s">
        <v>569</v>
      </c>
      <c r="C81" t="s">
        <v>571</v>
      </c>
      <c r="D81" t="s">
        <v>168</v>
      </c>
      <c r="E81" t="s">
        <v>572</v>
      </c>
      <c r="F81" t="s">
        <v>222</v>
      </c>
      <c r="G81" t="s">
        <v>501</v>
      </c>
      <c r="H81" t="s">
        <v>3872</v>
      </c>
      <c r="I81" t="s">
        <v>570</v>
      </c>
      <c r="J81">
        <v>2475</v>
      </c>
      <c r="K81">
        <v>19432.900000000001</v>
      </c>
      <c r="L81">
        <v>22347.88</v>
      </c>
      <c r="M81" t="s">
        <v>566</v>
      </c>
      <c r="N81" t="s">
        <v>19</v>
      </c>
      <c r="O81" t="s">
        <v>19</v>
      </c>
      <c r="P81" t="s">
        <v>567</v>
      </c>
      <c r="Q81">
        <v>0</v>
      </c>
      <c r="R81" t="s">
        <v>3877</v>
      </c>
    </row>
    <row r="82" spans="1:18" x14ac:dyDescent="0.2">
      <c r="A82" t="s">
        <v>575</v>
      </c>
      <c r="B82" t="s">
        <v>526</v>
      </c>
      <c r="C82" t="s">
        <v>528</v>
      </c>
      <c r="D82" t="s">
        <v>528</v>
      </c>
      <c r="E82" t="s">
        <v>576</v>
      </c>
      <c r="F82" t="s">
        <v>222</v>
      </c>
      <c r="G82" t="s">
        <v>501</v>
      </c>
      <c r="H82" t="s">
        <v>3872</v>
      </c>
      <c r="I82" t="s">
        <v>527</v>
      </c>
      <c r="J82">
        <v>2947.5</v>
      </c>
      <c r="K82">
        <v>2475</v>
      </c>
      <c r="L82">
        <v>2846.25</v>
      </c>
      <c r="M82" t="s">
        <v>573</v>
      </c>
      <c r="N82" t="s">
        <v>19</v>
      </c>
      <c r="O82" t="s">
        <v>18</v>
      </c>
      <c r="P82" t="s">
        <v>574</v>
      </c>
      <c r="Q82">
        <v>0</v>
      </c>
      <c r="R82" t="s">
        <v>3877</v>
      </c>
    </row>
    <row r="83" spans="1:18" x14ac:dyDescent="0.2">
      <c r="A83" t="s">
        <v>579</v>
      </c>
      <c r="B83" t="s">
        <v>148</v>
      </c>
      <c r="C83" t="s">
        <v>580</v>
      </c>
      <c r="D83" t="s">
        <v>580</v>
      </c>
      <c r="E83" t="s">
        <v>581</v>
      </c>
      <c r="F83" t="s">
        <v>222</v>
      </c>
      <c r="G83" t="s">
        <v>501</v>
      </c>
      <c r="H83" t="s">
        <v>3872</v>
      </c>
      <c r="I83" t="s">
        <v>149</v>
      </c>
      <c r="J83">
        <v>3990.47</v>
      </c>
      <c r="K83">
        <v>2947.5</v>
      </c>
      <c r="L83">
        <v>3389.63</v>
      </c>
      <c r="M83" t="s">
        <v>577</v>
      </c>
      <c r="N83" t="s">
        <v>19</v>
      </c>
      <c r="O83" t="s">
        <v>18</v>
      </c>
      <c r="P83" t="s">
        <v>578</v>
      </c>
      <c r="Q83">
        <v>0</v>
      </c>
      <c r="R83" t="s">
        <v>3876</v>
      </c>
    </row>
    <row r="84" spans="1:18" x14ac:dyDescent="0.2">
      <c r="A84" t="s">
        <v>584</v>
      </c>
      <c r="B84" t="s">
        <v>585</v>
      </c>
      <c r="C84" t="s">
        <v>588</v>
      </c>
      <c r="D84" t="s">
        <v>587</v>
      </c>
      <c r="E84" t="s">
        <v>589</v>
      </c>
      <c r="F84" t="s">
        <v>222</v>
      </c>
      <c r="G84" t="s">
        <v>501</v>
      </c>
      <c r="H84" t="s">
        <v>3872</v>
      </c>
      <c r="I84" t="s">
        <v>586</v>
      </c>
      <c r="J84">
        <v>22277</v>
      </c>
      <c r="K84">
        <v>3990.47</v>
      </c>
      <c r="L84">
        <v>4589.04</v>
      </c>
      <c r="M84" t="s">
        <v>582</v>
      </c>
      <c r="N84" t="s">
        <v>19</v>
      </c>
      <c r="O84" t="s">
        <v>19</v>
      </c>
      <c r="P84" t="s">
        <v>583</v>
      </c>
      <c r="Q84">
        <v>1</v>
      </c>
      <c r="R84" t="s">
        <v>3876</v>
      </c>
    </row>
    <row r="85" spans="1:18" x14ac:dyDescent="0.2">
      <c r="A85" t="s">
        <v>592</v>
      </c>
      <c r="B85" t="s">
        <v>593</v>
      </c>
      <c r="C85" t="s">
        <v>595</v>
      </c>
      <c r="D85" t="s">
        <v>168</v>
      </c>
      <c r="E85" t="s">
        <v>596</v>
      </c>
      <c r="F85" t="s">
        <v>135</v>
      </c>
      <c r="G85" t="s">
        <v>597</v>
      </c>
      <c r="H85" t="s">
        <v>3872</v>
      </c>
      <c r="I85" t="s">
        <v>594</v>
      </c>
      <c r="J85">
        <v>188149.69</v>
      </c>
      <c r="K85">
        <v>22277</v>
      </c>
      <c r="L85">
        <v>25618.55</v>
      </c>
      <c r="M85" t="s">
        <v>590</v>
      </c>
      <c r="N85" t="s">
        <v>19</v>
      </c>
      <c r="O85" t="s">
        <v>19</v>
      </c>
      <c r="P85" t="s">
        <v>591</v>
      </c>
      <c r="Q85">
        <v>35</v>
      </c>
      <c r="R85" t="s">
        <v>3876</v>
      </c>
    </row>
    <row r="86" spans="1:18" x14ac:dyDescent="0.2">
      <c r="A86" t="s">
        <v>600</v>
      </c>
      <c r="B86" t="s">
        <v>266</v>
      </c>
      <c r="C86" t="s">
        <v>113</v>
      </c>
      <c r="D86" t="s">
        <v>564</v>
      </c>
      <c r="E86" t="s">
        <v>269</v>
      </c>
      <c r="F86" t="s">
        <v>135</v>
      </c>
      <c r="G86" t="s">
        <v>597</v>
      </c>
      <c r="H86" t="s">
        <v>3872</v>
      </c>
      <c r="I86" t="s">
        <v>267</v>
      </c>
      <c r="J86">
        <v>47014.26</v>
      </c>
      <c r="K86">
        <v>188149.69</v>
      </c>
      <c r="L86">
        <v>216372.15</v>
      </c>
      <c r="M86" t="s">
        <v>598</v>
      </c>
      <c r="N86" t="s">
        <v>19</v>
      </c>
      <c r="O86" t="s">
        <v>19</v>
      </c>
      <c r="P86" t="s">
        <v>599</v>
      </c>
      <c r="Q86">
        <v>15</v>
      </c>
      <c r="R86" t="s">
        <v>3878</v>
      </c>
    </row>
    <row r="87" spans="1:18" x14ac:dyDescent="0.2">
      <c r="A87" t="s">
        <v>603</v>
      </c>
      <c r="B87" t="s">
        <v>604</v>
      </c>
      <c r="C87" t="s">
        <v>606</v>
      </c>
      <c r="D87" t="s">
        <v>607</v>
      </c>
      <c r="E87" t="s">
        <v>608</v>
      </c>
      <c r="F87" t="s">
        <v>609</v>
      </c>
      <c r="G87" t="s">
        <v>610</v>
      </c>
      <c r="H87" t="s">
        <v>3872</v>
      </c>
      <c r="I87" t="s">
        <v>605</v>
      </c>
      <c r="J87">
        <v>8515.2000000000007</v>
      </c>
      <c r="K87">
        <v>47014.26</v>
      </c>
      <c r="L87">
        <v>54066.45</v>
      </c>
      <c r="M87" t="s">
        <v>601</v>
      </c>
      <c r="N87" t="s">
        <v>19</v>
      </c>
      <c r="O87" t="s">
        <v>19</v>
      </c>
      <c r="P87" t="s">
        <v>602</v>
      </c>
      <c r="Q87">
        <v>2</v>
      </c>
      <c r="R87" t="s">
        <v>3876</v>
      </c>
    </row>
    <row r="88" spans="1:18" x14ac:dyDescent="0.2">
      <c r="A88" t="s">
        <v>613</v>
      </c>
      <c r="B88" t="s">
        <v>614</v>
      </c>
      <c r="C88" t="s">
        <v>129</v>
      </c>
      <c r="D88" t="s">
        <v>130</v>
      </c>
      <c r="E88" t="s">
        <v>616</v>
      </c>
      <c r="F88" t="s">
        <v>609</v>
      </c>
      <c r="G88" t="s">
        <v>610</v>
      </c>
      <c r="H88" t="s">
        <v>3872</v>
      </c>
      <c r="I88" t="s">
        <v>615</v>
      </c>
      <c r="J88">
        <v>197092.43</v>
      </c>
      <c r="K88">
        <v>8515.2000000000007</v>
      </c>
      <c r="L88">
        <v>9792.49</v>
      </c>
      <c r="M88" t="s">
        <v>611</v>
      </c>
      <c r="N88" t="s">
        <v>19</v>
      </c>
      <c r="O88" t="s">
        <v>19</v>
      </c>
      <c r="P88" t="s">
        <v>612</v>
      </c>
      <c r="Q88">
        <v>29</v>
      </c>
      <c r="R88" t="s">
        <v>3880</v>
      </c>
    </row>
    <row r="89" spans="1:18" x14ac:dyDescent="0.2">
      <c r="A89" t="s">
        <v>619</v>
      </c>
      <c r="B89" t="s">
        <v>620</v>
      </c>
      <c r="C89" t="s">
        <v>623</v>
      </c>
      <c r="D89" t="s">
        <v>623</v>
      </c>
      <c r="E89" t="s">
        <v>624</v>
      </c>
      <c r="F89" t="s">
        <v>256</v>
      </c>
      <c r="G89" t="s">
        <v>625</v>
      </c>
      <c r="H89" t="s">
        <v>3872</v>
      </c>
      <c r="I89" t="s">
        <v>621</v>
      </c>
      <c r="J89">
        <v>5066.5</v>
      </c>
      <c r="K89">
        <v>197092.43</v>
      </c>
      <c r="L89">
        <v>226656.3</v>
      </c>
      <c r="M89" t="s">
        <v>617</v>
      </c>
      <c r="N89" t="s">
        <v>19</v>
      </c>
      <c r="O89" t="s">
        <v>19</v>
      </c>
      <c r="P89" t="s">
        <v>618</v>
      </c>
      <c r="Q89">
        <v>0</v>
      </c>
      <c r="R89" t="s">
        <v>3876</v>
      </c>
    </row>
    <row r="90" spans="1:18" x14ac:dyDescent="0.2">
      <c r="A90" t="s">
        <v>628</v>
      </c>
      <c r="B90" t="s">
        <v>629</v>
      </c>
      <c r="C90" t="s">
        <v>630</v>
      </c>
      <c r="D90" t="s">
        <v>630</v>
      </c>
      <c r="E90" t="s">
        <v>631</v>
      </c>
      <c r="F90" t="s">
        <v>298</v>
      </c>
      <c r="G90" t="s">
        <v>632</v>
      </c>
      <c r="H90" t="s">
        <v>3872</v>
      </c>
      <c r="I90" t="s">
        <v>633</v>
      </c>
      <c r="J90">
        <v>47299</v>
      </c>
      <c r="K90">
        <v>5066.5</v>
      </c>
      <c r="L90">
        <v>5826.48</v>
      </c>
      <c r="M90" t="s">
        <v>626</v>
      </c>
      <c r="N90" t="s">
        <v>19</v>
      </c>
      <c r="O90" t="s">
        <v>19</v>
      </c>
      <c r="P90" t="s">
        <v>627</v>
      </c>
      <c r="Q90">
        <v>1</v>
      </c>
      <c r="R90" t="s">
        <v>3876</v>
      </c>
    </row>
    <row r="91" spans="1:18" x14ac:dyDescent="0.2">
      <c r="A91" t="s">
        <v>636</v>
      </c>
      <c r="B91" t="s">
        <v>198</v>
      </c>
      <c r="C91" t="s">
        <v>14</v>
      </c>
      <c r="D91" t="s">
        <v>200</v>
      </c>
      <c r="E91" t="s">
        <v>637</v>
      </c>
      <c r="F91" t="s">
        <v>609</v>
      </c>
      <c r="G91" t="s">
        <v>610</v>
      </c>
      <c r="H91" t="s">
        <v>3872</v>
      </c>
      <c r="I91" t="s">
        <v>199</v>
      </c>
      <c r="J91">
        <v>109812.9</v>
      </c>
      <c r="K91">
        <v>47299</v>
      </c>
      <c r="L91">
        <v>54393.85</v>
      </c>
      <c r="M91" t="s">
        <v>634</v>
      </c>
      <c r="N91" t="s">
        <v>19</v>
      </c>
      <c r="O91" t="s">
        <v>19</v>
      </c>
      <c r="P91" t="s">
        <v>635</v>
      </c>
      <c r="Q91">
        <v>31</v>
      </c>
      <c r="R91" t="s">
        <v>3880</v>
      </c>
    </row>
    <row r="92" spans="1:18" x14ac:dyDescent="0.2">
      <c r="A92" t="s">
        <v>640</v>
      </c>
      <c r="B92" t="s">
        <v>641</v>
      </c>
      <c r="C92" t="s">
        <v>643</v>
      </c>
      <c r="D92" t="s">
        <v>643</v>
      </c>
      <c r="E92" t="s">
        <v>644</v>
      </c>
      <c r="F92" t="s">
        <v>256</v>
      </c>
      <c r="G92" t="s">
        <v>625</v>
      </c>
      <c r="H92" t="s">
        <v>3872</v>
      </c>
      <c r="I92" t="s">
        <v>642</v>
      </c>
      <c r="J92">
        <v>486167.47</v>
      </c>
      <c r="K92">
        <v>109812.9</v>
      </c>
      <c r="L92">
        <v>126284.84</v>
      </c>
      <c r="M92" t="s">
        <v>638</v>
      </c>
      <c r="N92" t="s">
        <v>19</v>
      </c>
      <c r="O92" t="s">
        <v>19</v>
      </c>
      <c r="P92" t="s">
        <v>639</v>
      </c>
      <c r="Q92">
        <v>133</v>
      </c>
      <c r="R92" t="s">
        <v>3876</v>
      </c>
    </row>
    <row r="93" spans="1:18" x14ac:dyDescent="0.2">
      <c r="A93" t="s">
        <v>647</v>
      </c>
      <c r="B93" t="s">
        <v>648</v>
      </c>
      <c r="C93" t="s">
        <v>650</v>
      </c>
      <c r="D93" t="s">
        <v>168</v>
      </c>
      <c r="E93" t="s">
        <v>651</v>
      </c>
      <c r="F93" t="s">
        <v>284</v>
      </c>
      <c r="G93" t="s">
        <v>652</v>
      </c>
      <c r="H93" t="s">
        <v>3872</v>
      </c>
      <c r="I93" t="s">
        <v>649</v>
      </c>
      <c r="J93">
        <v>178705.71</v>
      </c>
      <c r="K93">
        <v>486167.47</v>
      </c>
      <c r="L93">
        <v>559092.56000000006</v>
      </c>
      <c r="M93" t="s">
        <v>645</v>
      </c>
      <c r="N93" t="s">
        <v>19</v>
      </c>
      <c r="O93" t="s">
        <v>145</v>
      </c>
      <c r="P93" t="s">
        <v>646</v>
      </c>
      <c r="Q93">
        <v>26</v>
      </c>
      <c r="R93" t="s">
        <v>3876</v>
      </c>
    </row>
    <row r="94" spans="1:18" x14ac:dyDescent="0.2">
      <c r="A94" t="s">
        <v>655</v>
      </c>
      <c r="B94" t="s">
        <v>16</v>
      </c>
      <c r="C94" t="s">
        <v>14</v>
      </c>
      <c r="D94" t="s">
        <v>14</v>
      </c>
      <c r="E94" t="s">
        <v>656</v>
      </c>
      <c r="F94" t="s">
        <v>298</v>
      </c>
      <c r="G94" t="s">
        <v>632</v>
      </c>
      <c r="H94" t="s">
        <v>3872</v>
      </c>
      <c r="I94" t="s">
        <v>17</v>
      </c>
      <c r="J94">
        <v>24739.63</v>
      </c>
      <c r="K94">
        <v>178705.71</v>
      </c>
      <c r="L94">
        <v>205511.56</v>
      </c>
      <c r="M94" t="s">
        <v>653</v>
      </c>
      <c r="N94" t="s">
        <v>19</v>
      </c>
      <c r="O94" t="s">
        <v>19</v>
      </c>
      <c r="P94" t="s">
        <v>654</v>
      </c>
      <c r="Q94">
        <v>3</v>
      </c>
      <c r="R94" t="s">
        <v>3876</v>
      </c>
    </row>
    <row r="95" spans="1:18" x14ac:dyDescent="0.2">
      <c r="A95" t="s">
        <v>659</v>
      </c>
      <c r="B95" t="s">
        <v>526</v>
      </c>
      <c r="C95" t="s">
        <v>528</v>
      </c>
      <c r="D95" t="s">
        <v>528</v>
      </c>
      <c r="E95" t="s">
        <v>660</v>
      </c>
      <c r="F95" t="s">
        <v>298</v>
      </c>
      <c r="G95" t="s">
        <v>632</v>
      </c>
      <c r="H95" t="s">
        <v>3872</v>
      </c>
      <c r="I95" t="s">
        <v>527</v>
      </c>
      <c r="J95">
        <v>12672.44</v>
      </c>
      <c r="K95">
        <v>24739.63</v>
      </c>
      <c r="L95">
        <v>28450.59</v>
      </c>
      <c r="M95" t="s">
        <v>657</v>
      </c>
      <c r="N95" t="s">
        <v>19</v>
      </c>
      <c r="O95" t="s">
        <v>19</v>
      </c>
      <c r="P95" t="s">
        <v>658</v>
      </c>
      <c r="Q95">
        <v>1</v>
      </c>
      <c r="R95" t="s">
        <v>3877</v>
      </c>
    </row>
    <row r="96" spans="1:18" x14ac:dyDescent="0.2">
      <c r="A96" t="s">
        <v>663</v>
      </c>
      <c r="B96" t="s">
        <v>330</v>
      </c>
      <c r="C96" t="s">
        <v>467</v>
      </c>
      <c r="D96" t="s">
        <v>467</v>
      </c>
      <c r="E96" t="s">
        <v>664</v>
      </c>
      <c r="F96" t="s">
        <v>665</v>
      </c>
      <c r="G96" t="s">
        <v>666</v>
      </c>
      <c r="H96" t="s">
        <v>3872</v>
      </c>
      <c r="I96" t="s">
        <v>331</v>
      </c>
      <c r="J96">
        <v>5895.87</v>
      </c>
      <c r="K96">
        <v>12672.44</v>
      </c>
      <c r="L96">
        <v>14573.31</v>
      </c>
      <c r="M96" t="s">
        <v>661</v>
      </c>
      <c r="N96" t="s">
        <v>19</v>
      </c>
      <c r="O96" t="s">
        <v>18</v>
      </c>
      <c r="P96" t="s">
        <v>662</v>
      </c>
      <c r="Q96">
        <v>3</v>
      </c>
      <c r="R96" t="s">
        <v>3876</v>
      </c>
    </row>
    <row r="97" spans="1:18" x14ac:dyDescent="0.2">
      <c r="A97" t="s">
        <v>669</v>
      </c>
      <c r="B97" t="s">
        <v>641</v>
      </c>
      <c r="C97" t="s">
        <v>643</v>
      </c>
      <c r="D97" t="s">
        <v>643</v>
      </c>
      <c r="E97" t="s">
        <v>670</v>
      </c>
      <c r="F97" t="s">
        <v>530</v>
      </c>
      <c r="G97" t="s">
        <v>531</v>
      </c>
      <c r="H97" t="s">
        <v>3872</v>
      </c>
      <c r="I97" t="s">
        <v>642</v>
      </c>
      <c r="J97">
        <v>478823.46</v>
      </c>
      <c r="K97">
        <v>5895.87</v>
      </c>
      <c r="L97">
        <v>6780.24</v>
      </c>
      <c r="M97" t="s">
        <v>667</v>
      </c>
      <c r="N97" t="s">
        <v>19</v>
      </c>
      <c r="O97" t="s">
        <v>19</v>
      </c>
      <c r="P97" t="s">
        <v>668</v>
      </c>
      <c r="Q97">
        <v>130</v>
      </c>
      <c r="R97" t="s">
        <v>3878</v>
      </c>
    </row>
    <row r="98" spans="1:18" x14ac:dyDescent="0.2">
      <c r="A98" t="s">
        <v>673</v>
      </c>
      <c r="B98" t="s">
        <v>674</v>
      </c>
      <c r="C98" t="s">
        <v>676</v>
      </c>
      <c r="D98" t="s">
        <v>168</v>
      </c>
      <c r="E98" t="s">
        <v>677</v>
      </c>
      <c r="F98" t="s">
        <v>530</v>
      </c>
      <c r="G98" t="s">
        <v>531</v>
      </c>
      <c r="H98" t="s">
        <v>3872</v>
      </c>
      <c r="I98" t="s">
        <v>675</v>
      </c>
      <c r="J98">
        <v>2248.1</v>
      </c>
      <c r="K98">
        <v>478823.46</v>
      </c>
      <c r="L98">
        <v>550646.93999999994</v>
      </c>
      <c r="M98" t="s">
        <v>671</v>
      </c>
      <c r="N98" t="s">
        <v>19</v>
      </c>
      <c r="O98" t="s">
        <v>19</v>
      </c>
      <c r="P98" t="s">
        <v>672</v>
      </c>
      <c r="Q98">
        <v>1</v>
      </c>
      <c r="R98" t="s">
        <v>3877</v>
      </c>
    </row>
    <row r="99" spans="1:18" x14ac:dyDescent="0.2">
      <c r="A99" t="s">
        <v>680</v>
      </c>
      <c r="B99" t="s">
        <v>681</v>
      </c>
      <c r="C99" t="s">
        <v>683</v>
      </c>
      <c r="D99" t="s">
        <v>168</v>
      </c>
      <c r="E99" t="s">
        <v>684</v>
      </c>
      <c r="F99" t="s">
        <v>685</v>
      </c>
      <c r="G99" t="s">
        <v>686</v>
      </c>
      <c r="H99" t="s">
        <v>3872</v>
      </c>
      <c r="I99" t="s">
        <v>682</v>
      </c>
      <c r="J99">
        <v>94325</v>
      </c>
      <c r="K99">
        <v>2248.1</v>
      </c>
      <c r="L99">
        <v>2585.3200000000002</v>
      </c>
      <c r="M99" t="s">
        <v>678</v>
      </c>
      <c r="N99" t="s">
        <v>19</v>
      </c>
      <c r="O99" t="s">
        <v>19</v>
      </c>
      <c r="P99" t="s">
        <v>679</v>
      </c>
      <c r="Q99">
        <v>7</v>
      </c>
      <c r="R99" t="s">
        <v>3876</v>
      </c>
    </row>
    <row r="100" spans="1:18" x14ac:dyDescent="0.2">
      <c r="A100" t="s">
        <v>689</v>
      </c>
      <c r="B100" t="s">
        <v>690</v>
      </c>
      <c r="C100" t="s">
        <v>692</v>
      </c>
      <c r="D100" t="s">
        <v>692</v>
      </c>
      <c r="E100" t="s">
        <v>693</v>
      </c>
      <c r="F100" t="s">
        <v>346</v>
      </c>
      <c r="G100" t="s">
        <v>686</v>
      </c>
      <c r="H100" t="s">
        <v>3872</v>
      </c>
      <c r="I100" t="s">
        <v>691</v>
      </c>
      <c r="J100">
        <v>2440</v>
      </c>
      <c r="K100">
        <v>94325</v>
      </c>
      <c r="L100">
        <v>108473.75</v>
      </c>
      <c r="M100" t="s">
        <v>687</v>
      </c>
      <c r="N100" t="s">
        <v>19</v>
      </c>
      <c r="O100" t="s">
        <v>19</v>
      </c>
      <c r="P100" t="s">
        <v>688</v>
      </c>
      <c r="Q100">
        <v>0</v>
      </c>
      <c r="R100" t="s">
        <v>3877</v>
      </c>
    </row>
    <row r="101" spans="1:18" x14ac:dyDescent="0.2">
      <c r="A101" t="s">
        <v>696</v>
      </c>
      <c r="B101" t="s">
        <v>526</v>
      </c>
      <c r="C101" t="s">
        <v>528</v>
      </c>
      <c r="D101" t="s">
        <v>528</v>
      </c>
      <c r="E101" t="s">
        <v>697</v>
      </c>
      <c r="F101" t="s">
        <v>346</v>
      </c>
      <c r="G101" t="s">
        <v>698</v>
      </c>
      <c r="H101" t="s">
        <v>3872</v>
      </c>
      <c r="I101" t="s">
        <v>527</v>
      </c>
      <c r="J101">
        <v>144567.45000000001</v>
      </c>
      <c r="K101">
        <v>2440</v>
      </c>
      <c r="L101">
        <v>2806</v>
      </c>
      <c r="M101" t="s">
        <v>694</v>
      </c>
      <c r="N101" t="s">
        <v>19</v>
      </c>
      <c r="O101" t="s">
        <v>18</v>
      </c>
      <c r="P101" t="s">
        <v>695</v>
      </c>
      <c r="Q101">
        <v>14</v>
      </c>
      <c r="R101" t="s">
        <v>3876</v>
      </c>
    </row>
    <row r="102" spans="1:18" x14ac:dyDescent="0.2">
      <c r="A102" t="s">
        <v>701</v>
      </c>
      <c r="B102" t="s">
        <v>702</v>
      </c>
      <c r="C102" t="s">
        <v>702</v>
      </c>
      <c r="D102" t="s">
        <v>703</v>
      </c>
      <c r="E102" t="s">
        <v>704</v>
      </c>
      <c r="F102" t="s">
        <v>346</v>
      </c>
      <c r="G102" t="s">
        <v>698</v>
      </c>
      <c r="H102" t="s">
        <v>3872</v>
      </c>
      <c r="I102" t="s">
        <v>705</v>
      </c>
      <c r="J102">
        <v>594</v>
      </c>
      <c r="K102">
        <v>144567.45000000001</v>
      </c>
      <c r="L102">
        <v>166252.56</v>
      </c>
      <c r="M102" t="s">
        <v>699</v>
      </c>
      <c r="N102" t="s">
        <v>19</v>
      </c>
      <c r="O102" t="s">
        <v>19</v>
      </c>
      <c r="P102" t="s">
        <v>700</v>
      </c>
      <c r="Q102">
        <v>0</v>
      </c>
      <c r="R102" t="s">
        <v>3877</v>
      </c>
    </row>
    <row r="103" spans="1:18" x14ac:dyDescent="0.2">
      <c r="A103" t="s">
        <v>708</v>
      </c>
      <c r="B103" t="s">
        <v>702</v>
      </c>
      <c r="C103" t="s">
        <v>702</v>
      </c>
      <c r="D103" t="s">
        <v>703</v>
      </c>
      <c r="E103" t="s">
        <v>709</v>
      </c>
      <c r="F103" t="s">
        <v>346</v>
      </c>
      <c r="G103" t="s">
        <v>698</v>
      </c>
      <c r="H103" t="s">
        <v>3872</v>
      </c>
      <c r="I103" t="s">
        <v>705</v>
      </c>
      <c r="J103">
        <v>3552</v>
      </c>
      <c r="K103">
        <v>594</v>
      </c>
      <c r="L103">
        <v>683.1</v>
      </c>
      <c r="M103" t="s">
        <v>706</v>
      </c>
      <c r="N103" t="s">
        <v>19</v>
      </c>
      <c r="O103" t="s">
        <v>18</v>
      </c>
      <c r="P103" t="s">
        <v>707</v>
      </c>
      <c r="Q103">
        <v>0</v>
      </c>
      <c r="R103" t="s">
        <v>3879</v>
      </c>
    </row>
    <row r="104" spans="1:18" x14ac:dyDescent="0.2">
      <c r="A104" t="s">
        <v>712</v>
      </c>
      <c r="B104" t="s">
        <v>526</v>
      </c>
      <c r="C104" t="s">
        <v>14</v>
      </c>
      <c r="D104" t="s">
        <v>713</v>
      </c>
      <c r="E104" t="s">
        <v>714</v>
      </c>
      <c r="F104" t="s">
        <v>346</v>
      </c>
      <c r="G104" t="s">
        <v>698</v>
      </c>
      <c r="H104" t="s">
        <v>3872</v>
      </c>
      <c r="I104" t="s">
        <v>527</v>
      </c>
      <c r="J104">
        <v>136288.35999999999</v>
      </c>
      <c r="K104">
        <v>3552</v>
      </c>
      <c r="L104">
        <v>4084.8</v>
      </c>
      <c r="M104" t="s">
        <v>710</v>
      </c>
      <c r="N104" t="s">
        <v>19</v>
      </c>
      <c r="O104" t="s">
        <v>19</v>
      </c>
      <c r="P104" t="s">
        <v>711</v>
      </c>
      <c r="Q104">
        <v>14</v>
      </c>
      <c r="R104" t="s">
        <v>3876</v>
      </c>
    </row>
    <row r="105" spans="1:18" x14ac:dyDescent="0.2">
      <c r="A105" t="s">
        <v>717</v>
      </c>
      <c r="B105" t="s">
        <v>718</v>
      </c>
      <c r="C105" t="s">
        <v>129</v>
      </c>
      <c r="D105" t="s">
        <v>130</v>
      </c>
      <c r="E105" t="s">
        <v>721</v>
      </c>
      <c r="F105" t="s">
        <v>346</v>
      </c>
      <c r="G105" t="s">
        <v>698</v>
      </c>
      <c r="H105" t="s">
        <v>3872</v>
      </c>
      <c r="I105" t="s">
        <v>719</v>
      </c>
      <c r="J105">
        <v>2248.1</v>
      </c>
      <c r="K105">
        <v>136288.35999999999</v>
      </c>
      <c r="L105">
        <v>156731.6</v>
      </c>
      <c r="M105" t="s">
        <v>715</v>
      </c>
      <c r="N105" t="s">
        <v>19</v>
      </c>
      <c r="O105" t="s">
        <v>19</v>
      </c>
      <c r="P105" t="s">
        <v>716</v>
      </c>
      <c r="Q105">
        <v>1</v>
      </c>
      <c r="R105" t="s">
        <v>3876</v>
      </c>
    </row>
    <row r="106" spans="1:18" x14ac:dyDescent="0.2">
      <c r="A106" t="s">
        <v>724</v>
      </c>
      <c r="B106" t="s">
        <v>725</v>
      </c>
      <c r="C106" t="s">
        <v>727</v>
      </c>
      <c r="D106" t="s">
        <v>168</v>
      </c>
      <c r="E106" t="s">
        <v>728</v>
      </c>
      <c r="F106" t="s">
        <v>346</v>
      </c>
      <c r="G106" t="s">
        <v>698</v>
      </c>
      <c r="H106" t="s">
        <v>3872</v>
      </c>
      <c r="I106" t="s">
        <v>726</v>
      </c>
      <c r="J106">
        <v>5381.15</v>
      </c>
      <c r="K106">
        <v>2248.1</v>
      </c>
      <c r="L106">
        <v>2585.3200000000002</v>
      </c>
      <c r="M106" t="s">
        <v>722</v>
      </c>
      <c r="N106" t="s">
        <v>19</v>
      </c>
      <c r="O106" t="s">
        <v>19</v>
      </c>
      <c r="P106" t="s">
        <v>723</v>
      </c>
      <c r="Q106">
        <v>1</v>
      </c>
      <c r="R106" t="s">
        <v>3876</v>
      </c>
    </row>
    <row r="107" spans="1:18" x14ac:dyDescent="0.2">
      <c r="A107" t="s">
        <v>731</v>
      </c>
      <c r="B107" t="s">
        <v>526</v>
      </c>
      <c r="C107" t="s">
        <v>528</v>
      </c>
      <c r="D107" t="s">
        <v>528</v>
      </c>
      <c r="E107" t="s">
        <v>732</v>
      </c>
      <c r="F107" t="s">
        <v>365</v>
      </c>
      <c r="G107" t="s">
        <v>733</v>
      </c>
      <c r="H107" t="s">
        <v>3872</v>
      </c>
      <c r="I107" t="s">
        <v>527</v>
      </c>
      <c r="J107">
        <v>36477.699999999997</v>
      </c>
      <c r="K107">
        <v>5381.15</v>
      </c>
      <c r="L107">
        <v>6188.33</v>
      </c>
      <c r="M107" t="s">
        <v>729</v>
      </c>
      <c r="N107" t="s">
        <v>19</v>
      </c>
      <c r="O107" t="s">
        <v>19</v>
      </c>
      <c r="P107" t="s">
        <v>730</v>
      </c>
      <c r="Q107">
        <v>17</v>
      </c>
      <c r="R107" t="s">
        <v>3876</v>
      </c>
    </row>
    <row r="108" spans="1:18" x14ac:dyDescent="0.2">
      <c r="A108" t="s">
        <v>736</v>
      </c>
      <c r="B108" t="s">
        <v>737</v>
      </c>
      <c r="C108" t="s">
        <v>739</v>
      </c>
      <c r="D108" t="s">
        <v>739</v>
      </c>
      <c r="E108" t="s">
        <v>740</v>
      </c>
      <c r="F108" t="s">
        <v>365</v>
      </c>
      <c r="G108" t="s">
        <v>733</v>
      </c>
      <c r="H108" t="s">
        <v>3872</v>
      </c>
      <c r="I108" t="s">
        <v>738</v>
      </c>
      <c r="J108">
        <v>2940</v>
      </c>
      <c r="K108">
        <v>36477.699999999997</v>
      </c>
      <c r="L108">
        <v>41949.36</v>
      </c>
      <c r="M108" t="s">
        <v>734</v>
      </c>
      <c r="N108" t="s">
        <v>19</v>
      </c>
      <c r="O108" t="s">
        <v>19</v>
      </c>
      <c r="P108" t="s">
        <v>735</v>
      </c>
      <c r="Q108">
        <v>0</v>
      </c>
      <c r="R108" t="s">
        <v>3877</v>
      </c>
    </row>
    <row r="109" spans="1:18" x14ac:dyDescent="0.2">
      <c r="A109" t="s">
        <v>743</v>
      </c>
      <c r="B109" t="s">
        <v>526</v>
      </c>
      <c r="C109" t="s">
        <v>528</v>
      </c>
      <c r="D109" t="s">
        <v>528</v>
      </c>
      <c r="E109" t="s">
        <v>744</v>
      </c>
      <c r="F109" t="s">
        <v>365</v>
      </c>
      <c r="G109" t="s">
        <v>733</v>
      </c>
      <c r="H109" t="s">
        <v>3872</v>
      </c>
      <c r="I109" t="s">
        <v>527</v>
      </c>
      <c r="J109">
        <v>46323.38</v>
      </c>
      <c r="K109">
        <v>2940</v>
      </c>
      <c r="L109">
        <v>3381</v>
      </c>
      <c r="M109" t="s">
        <v>741</v>
      </c>
      <c r="N109" t="s">
        <v>19</v>
      </c>
      <c r="O109" t="s">
        <v>18</v>
      </c>
      <c r="P109" t="s">
        <v>742</v>
      </c>
      <c r="Q109">
        <v>0</v>
      </c>
      <c r="R109" t="s">
        <v>3877</v>
      </c>
    </row>
    <row r="110" spans="1:18" x14ac:dyDescent="0.2">
      <c r="A110" t="s">
        <v>747</v>
      </c>
      <c r="B110" t="s">
        <v>526</v>
      </c>
      <c r="C110" t="s">
        <v>14</v>
      </c>
      <c r="D110" t="s">
        <v>713</v>
      </c>
      <c r="E110" t="s">
        <v>748</v>
      </c>
      <c r="F110" t="s">
        <v>365</v>
      </c>
      <c r="G110" t="s">
        <v>733</v>
      </c>
      <c r="H110" t="s">
        <v>3872</v>
      </c>
      <c r="I110" t="s">
        <v>527</v>
      </c>
      <c r="J110">
        <v>74164.58</v>
      </c>
      <c r="K110">
        <v>46323.38</v>
      </c>
      <c r="L110">
        <v>53271.88</v>
      </c>
      <c r="M110" t="s">
        <v>745</v>
      </c>
      <c r="N110" t="s">
        <v>19</v>
      </c>
      <c r="O110" t="s">
        <v>18</v>
      </c>
      <c r="P110" t="s">
        <v>746</v>
      </c>
      <c r="Q110">
        <v>12</v>
      </c>
      <c r="R110" t="s">
        <v>3876</v>
      </c>
    </row>
    <row r="111" spans="1:18" x14ac:dyDescent="0.2">
      <c r="A111" t="s">
        <v>751</v>
      </c>
      <c r="B111" t="s">
        <v>681</v>
      </c>
      <c r="C111" t="s">
        <v>113</v>
      </c>
      <c r="D111" t="s">
        <v>752</v>
      </c>
      <c r="E111" t="s">
        <v>753</v>
      </c>
      <c r="F111" t="s">
        <v>387</v>
      </c>
      <c r="G111" t="s">
        <v>754</v>
      </c>
      <c r="H111" t="s">
        <v>3872</v>
      </c>
      <c r="I111" t="s">
        <v>682</v>
      </c>
      <c r="J111">
        <v>109147.5</v>
      </c>
      <c r="K111">
        <v>74164.58</v>
      </c>
      <c r="L111">
        <v>85289.26</v>
      </c>
      <c r="M111" t="s">
        <v>749</v>
      </c>
      <c r="N111" t="s">
        <v>19</v>
      </c>
      <c r="O111" t="s">
        <v>19</v>
      </c>
      <c r="P111" t="s">
        <v>750</v>
      </c>
      <c r="Q111">
        <v>7</v>
      </c>
      <c r="R111" t="s">
        <v>3876</v>
      </c>
    </row>
    <row r="112" spans="1:18" x14ac:dyDescent="0.2">
      <c r="A112" t="s">
        <v>757</v>
      </c>
      <c r="B112" t="s">
        <v>758</v>
      </c>
      <c r="C112" t="s">
        <v>759</v>
      </c>
      <c r="D112" t="s">
        <v>760</v>
      </c>
      <c r="E112" t="s">
        <v>761</v>
      </c>
      <c r="F112" t="s">
        <v>387</v>
      </c>
      <c r="G112" t="s">
        <v>754</v>
      </c>
      <c r="H112" s="2" t="s">
        <v>3871</v>
      </c>
      <c r="I112" t="s">
        <v>762</v>
      </c>
      <c r="J112">
        <v>2655</v>
      </c>
      <c r="K112">
        <v>109147.5</v>
      </c>
      <c r="L112">
        <v>125519.63</v>
      </c>
      <c r="M112" t="s">
        <v>755</v>
      </c>
      <c r="N112" t="s">
        <v>19</v>
      </c>
      <c r="O112" t="s">
        <v>19</v>
      </c>
      <c r="P112" t="s">
        <v>756</v>
      </c>
      <c r="Q112">
        <v>0</v>
      </c>
      <c r="R112" t="s">
        <v>3877</v>
      </c>
    </row>
    <row r="113" spans="1:18" x14ac:dyDescent="0.2">
      <c r="A113" t="s">
        <v>765</v>
      </c>
      <c r="B113" t="s">
        <v>766</v>
      </c>
      <c r="C113" t="s">
        <v>767</v>
      </c>
      <c r="D113" t="s">
        <v>768</v>
      </c>
      <c r="E113" t="s">
        <v>769</v>
      </c>
      <c r="F113" t="s">
        <v>387</v>
      </c>
      <c r="G113" t="s">
        <v>754</v>
      </c>
      <c r="H113" s="2" t="s">
        <v>3871</v>
      </c>
      <c r="I113" t="s">
        <v>770</v>
      </c>
      <c r="J113">
        <v>13733.13</v>
      </c>
      <c r="K113">
        <v>2655</v>
      </c>
      <c r="L113">
        <v>3053.25</v>
      </c>
      <c r="M113" t="s">
        <v>763</v>
      </c>
      <c r="N113" t="s">
        <v>19</v>
      </c>
      <c r="O113" t="s">
        <v>18</v>
      </c>
      <c r="P113" t="s">
        <v>764</v>
      </c>
      <c r="Q113">
        <v>3</v>
      </c>
      <c r="R113" t="s">
        <v>3876</v>
      </c>
    </row>
    <row r="114" spans="1:18" x14ac:dyDescent="0.2">
      <c r="A114" t="s">
        <v>774</v>
      </c>
      <c r="B114" t="s">
        <v>335</v>
      </c>
      <c r="C114" t="s">
        <v>14</v>
      </c>
      <c r="D114" t="s">
        <v>336</v>
      </c>
      <c r="E114" t="s">
        <v>775</v>
      </c>
      <c r="F114" t="s">
        <v>387</v>
      </c>
      <c r="G114" t="s">
        <v>754</v>
      </c>
      <c r="H114" s="2" t="s">
        <v>3871</v>
      </c>
      <c r="I114" t="s">
        <v>776</v>
      </c>
      <c r="J114">
        <v>15710</v>
      </c>
      <c r="K114">
        <v>13733.13</v>
      </c>
      <c r="L114">
        <v>15793.1</v>
      </c>
      <c r="M114" t="s">
        <v>771</v>
      </c>
      <c r="N114" t="s">
        <v>19</v>
      </c>
      <c r="O114" t="s">
        <v>772</v>
      </c>
      <c r="P114" t="s">
        <v>773</v>
      </c>
      <c r="Q114">
        <v>1</v>
      </c>
      <c r="R114" t="s">
        <v>3876</v>
      </c>
    </row>
    <row r="115" spans="1:18" x14ac:dyDescent="0.2">
      <c r="A115" t="s">
        <v>779</v>
      </c>
      <c r="B115" t="s">
        <v>780</v>
      </c>
      <c r="C115" t="s">
        <v>782</v>
      </c>
      <c r="D115" t="s">
        <v>782</v>
      </c>
      <c r="E115" t="s">
        <v>783</v>
      </c>
      <c r="F115" t="s">
        <v>665</v>
      </c>
      <c r="G115" t="s">
        <v>666</v>
      </c>
      <c r="H115" t="s">
        <v>3872</v>
      </c>
      <c r="I115" t="s">
        <v>781</v>
      </c>
      <c r="J115">
        <v>5381.15</v>
      </c>
      <c r="K115">
        <v>15710</v>
      </c>
      <c r="L115">
        <v>18066.5</v>
      </c>
      <c r="M115" t="s">
        <v>777</v>
      </c>
      <c r="N115" t="s">
        <v>19</v>
      </c>
      <c r="O115" t="s">
        <v>19</v>
      </c>
      <c r="P115" t="s">
        <v>778</v>
      </c>
      <c r="Q115">
        <v>1</v>
      </c>
      <c r="R115" t="s">
        <v>3877</v>
      </c>
    </row>
    <row r="116" spans="1:18" x14ac:dyDescent="0.2">
      <c r="A116" t="s">
        <v>786</v>
      </c>
      <c r="B116" t="s">
        <v>787</v>
      </c>
      <c r="C116" t="s">
        <v>788</v>
      </c>
      <c r="D116" t="s">
        <v>789</v>
      </c>
      <c r="E116" t="s">
        <v>790</v>
      </c>
      <c r="F116" t="s">
        <v>665</v>
      </c>
      <c r="G116" t="s">
        <v>666</v>
      </c>
      <c r="H116" s="2" t="s">
        <v>3871</v>
      </c>
      <c r="I116" t="s">
        <v>791</v>
      </c>
      <c r="J116">
        <v>25990.400000000001</v>
      </c>
      <c r="K116">
        <v>5381.15</v>
      </c>
      <c r="L116">
        <v>6188.33</v>
      </c>
      <c r="M116" t="s">
        <v>784</v>
      </c>
      <c r="N116" t="s">
        <v>19</v>
      </c>
      <c r="O116" t="s">
        <v>18</v>
      </c>
      <c r="P116" t="s">
        <v>785</v>
      </c>
      <c r="Q116">
        <v>13</v>
      </c>
      <c r="R116" t="s">
        <v>3877</v>
      </c>
    </row>
    <row r="117" spans="1:18" x14ac:dyDescent="0.2">
      <c r="A117" t="s">
        <v>794</v>
      </c>
      <c r="B117" t="s">
        <v>535</v>
      </c>
      <c r="C117" t="s">
        <v>537</v>
      </c>
      <c r="D117" t="s">
        <v>168</v>
      </c>
      <c r="E117" t="s">
        <v>795</v>
      </c>
      <c r="F117" t="s">
        <v>796</v>
      </c>
      <c r="G117" t="s">
        <v>797</v>
      </c>
      <c r="H117" t="s">
        <v>3872</v>
      </c>
      <c r="I117" t="s">
        <v>536</v>
      </c>
      <c r="J117">
        <v>2248.1</v>
      </c>
      <c r="K117">
        <v>25990.400000000001</v>
      </c>
      <c r="L117">
        <v>29888.959999999999</v>
      </c>
      <c r="M117" t="s">
        <v>792</v>
      </c>
      <c r="N117" t="s">
        <v>19</v>
      </c>
      <c r="O117" t="s">
        <v>772</v>
      </c>
      <c r="P117" t="s">
        <v>793</v>
      </c>
      <c r="Q117">
        <v>1</v>
      </c>
      <c r="R117" t="s">
        <v>3877</v>
      </c>
    </row>
    <row r="118" spans="1:18" x14ac:dyDescent="0.2">
      <c r="A118" t="s">
        <v>800</v>
      </c>
      <c r="B118" t="s">
        <v>614</v>
      </c>
      <c r="C118" t="s">
        <v>801</v>
      </c>
      <c r="D118" t="s">
        <v>801</v>
      </c>
      <c r="E118" t="s">
        <v>802</v>
      </c>
      <c r="F118" t="s">
        <v>665</v>
      </c>
      <c r="G118" t="s">
        <v>666</v>
      </c>
      <c r="H118" t="s">
        <v>3872</v>
      </c>
      <c r="I118" t="s">
        <v>615</v>
      </c>
      <c r="J118">
        <v>191672.66</v>
      </c>
      <c r="K118">
        <v>2248.1</v>
      </c>
      <c r="L118">
        <v>2585.3200000000002</v>
      </c>
      <c r="M118" t="s">
        <v>798</v>
      </c>
      <c r="N118" t="s">
        <v>19</v>
      </c>
      <c r="O118" t="s">
        <v>19</v>
      </c>
      <c r="P118" t="s">
        <v>799</v>
      </c>
      <c r="Q118">
        <v>29</v>
      </c>
      <c r="R118" t="s">
        <v>3876</v>
      </c>
    </row>
    <row r="119" spans="1:18" x14ac:dyDescent="0.2">
      <c r="A119" t="s">
        <v>805</v>
      </c>
      <c r="B119" t="s">
        <v>806</v>
      </c>
      <c r="C119" t="s">
        <v>808</v>
      </c>
      <c r="D119" t="s">
        <v>168</v>
      </c>
      <c r="E119" t="s">
        <v>809</v>
      </c>
      <c r="F119" t="s">
        <v>796</v>
      </c>
      <c r="G119" t="s">
        <v>797</v>
      </c>
      <c r="H119" t="s">
        <v>3872</v>
      </c>
      <c r="I119" t="s">
        <v>807</v>
      </c>
      <c r="J119">
        <v>5629.44</v>
      </c>
      <c r="K119">
        <v>191672.66</v>
      </c>
      <c r="L119">
        <v>220423.55</v>
      </c>
      <c r="M119" t="s">
        <v>803</v>
      </c>
      <c r="N119" t="s">
        <v>19</v>
      </c>
      <c r="O119" t="s">
        <v>19</v>
      </c>
      <c r="P119" t="s">
        <v>804</v>
      </c>
      <c r="Q119">
        <v>1</v>
      </c>
      <c r="R119" t="s">
        <v>3876</v>
      </c>
    </row>
    <row r="120" spans="1:18" x14ac:dyDescent="0.2">
      <c r="A120" t="s">
        <v>812</v>
      </c>
      <c r="B120" t="s">
        <v>813</v>
      </c>
      <c r="C120" t="s">
        <v>815</v>
      </c>
      <c r="D120" t="s">
        <v>815</v>
      </c>
      <c r="E120" t="s">
        <v>816</v>
      </c>
      <c r="F120" t="s">
        <v>435</v>
      </c>
      <c r="G120" t="s">
        <v>817</v>
      </c>
      <c r="H120" t="s">
        <v>3872</v>
      </c>
      <c r="I120" t="s">
        <v>814</v>
      </c>
      <c r="J120">
        <v>9255.42</v>
      </c>
      <c r="K120">
        <v>5629.44</v>
      </c>
      <c r="L120">
        <v>6473.86</v>
      </c>
      <c r="M120" t="s">
        <v>810</v>
      </c>
      <c r="N120" t="s">
        <v>19</v>
      </c>
      <c r="O120" t="s">
        <v>19</v>
      </c>
      <c r="P120" t="s">
        <v>811</v>
      </c>
      <c r="Q120">
        <v>2</v>
      </c>
      <c r="R120" t="s">
        <v>3877</v>
      </c>
    </row>
    <row r="121" spans="1:18" x14ac:dyDescent="0.2">
      <c r="A121" t="s">
        <v>820</v>
      </c>
      <c r="B121" t="s">
        <v>821</v>
      </c>
      <c r="C121" t="s">
        <v>113</v>
      </c>
      <c r="D121" t="s">
        <v>823</v>
      </c>
      <c r="E121" t="s">
        <v>824</v>
      </c>
      <c r="F121" t="s">
        <v>796</v>
      </c>
      <c r="G121" t="s">
        <v>797</v>
      </c>
      <c r="H121" s="2" t="s">
        <v>3871</v>
      </c>
      <c r="I121" t="s">
        <v>825</v>
      </c>
      <c r="J121">
        <v>38800</v>
      </c>
      <c r="K121">
        <v>9255.42</v>
      </c>
      <c r="L121">
        <v>10643.73</v>
      </c>
      <c r="M121" t="s">
        <v>818</v>
      </c>
      <c r="N121" t="s">
        <v>19</v>
      </c>
      <c r="O121" t="s">
        <v>18</v>
      </c>
      <c r="P121" t="s">
        <v>819</v>
      </c>
      <c r="Q121">
        <v>2</v>
      </c>
      <c r="R121" t="s">
        <v>3877</v>
      </c>
    </row>
    <row r="122" spans="1:18" x14ac:dyDescent="0.2">
      <c r="A122" t="s">
        <v>828</v>
      </c>
      <c r="B122" t="s">
        <v>829</v>
      </c>
      <c r="C122" t="s">
        <v>121</v>
      </c>
      <c r="D122" t="s">
        <v>831</v>
      </c>
      <c r="E122" t="s">
        <v>832</v>
      </c>
      <c r="F122" t="s">
        <v>435</v>
      </c>
      <c r="G122" t="s">
        <v>817</v>
      </c>
      <c r="H122" t="s">
        <v>3872</v>
      </c>
      <c r="I122" t="s">
        <v>830</v>
      </c>
      <c r="J122">
        <v>3663.93</v>
      </c>
      <c r="K122">
        <v>38800</v>
      </c>
      <c r="L122">
        <v>44620</v>
      </c>
      <c r="M122" t="s">
        <v>826</v>
      </c>
      <c r="N122" t="s">
        <v>19</v>
      </c>
      <c r="O122" t="s">
        <v>18</v>
      </c>
      <c r="P122" t="s">
        <v>827</v>
      </c>
      <c r="Q122">
        <v>1</v>
      </c>
      <c r="R122" t="s">
        <v>3877</v>
      </c>
    </row>
    <row r="123" spans="1:18" x14ac:dyDescent="0.2">
      <c r="A123" t="s">
        <v>835</v>
      </c>
      <c r="B123" t="s">
        <v>836</v>
      </c>
      <c r="C123" t="s">
        <v>838</v>
      </c>
      <c r="D123" t="s">
        <v>168</v>
      </c>
      <c r="E123" t="s">
        <v>839</v>
      </c>
      <c r="F123" t="s">
        <v>796</v>
      </c>
      <c r="G123" t="s">
        <v>797</v>
      </c>
      <c r="H123" t="s">
        <v>3872</v>
      </c>
      <c r="I123" t="s">
        <v>837</v>
      </c>
      <c r="J123">
        <v>1974.37</v>
      </c>
      <c r="K123">
        <v>3663.93</v>
      </c>
      <c r="L123">
        <v>4213.5200000000004</v>
      </c>
      <c r="M123" t="s">
        <v>833</v>
      </c>
      <c r="N123" t="s">
        <v>19</v>
      </c>
      <c r="O123" t="s">
        <v>18</v>
      </c>
      <c r="P123" t="s">
        <v>834</v>
      </c>
      <c r="Q123">
        <v>0</v>
      </c>
      <c r="R123" t="s">
        <v>3876</v>
      </c>
    </row>
    <row r="124" spans="1:18" x14ac:dyDescent="0.2">
      <c r="A124" t="s">
        <v>842</v>
      </c>
      <c r="B124" t="s">
        <v>843</v>
      </c>
      <c r="C124" t="s">
        <v>845</v>
      </c>
      <c r="D124" t="s">
        <v>168</v>
      </c>
      <c r="E124" t="s">
        <v>846</v>
      </c>
      <c r="F124" t="s">
        <v>796</v>
      </c>
      <c r="G124" t="s">
        <v>797</v>
      </c>
      <c r="H124" t="s">
        <v>3872</v>
      </c>
      <c r="I124" t="s">
        <v>844</v>
      </c>
      <c r="J124">
        <v>4680.47</v>
      </c>
      <c r="K124">
        <v>1974.37</v>
      </c>
      <c r="L124">
        <v>2270.5300000000002</v>
      </c>
      <c r="M124" t="s">
        <v>840</v>
      </c>
      <c r="N124" t="s">
        <v>19</v>
      </c>
      <c r="O124" t="s">
        <v>19</v>
      </c>
      <c r="P124" t="s">
        <v>841</v>
      </c>
      <c r="Q124">
        <v>0</v>
      </c>
      <c r="R124" t="s">
        <v>3880</v>
      </c>
    </row>
    <row r="125" spans="1:18" x14ac:dyDescent="0.2">
      <c r="A125" t="s">
        <v>849</v>
      </c>
      <c r="B125" t="s">
        <v>850</v>
      </c>
      <c r="C125" t="s">
        <v>851</v>
      </c>
      <c r="D125" t="s">
        <v>852</v>
      </c>
      <c r="E125" t="s">
        <v>853</v>
      </c>
      <c r="F125" t="s">
        <v>854</v>
      </c>
      <c r="G125" t="s">
        <v>855</v>
      </c>
      <c r="H125" t="s">
        <v>3872</v>
      </c>
      <c r="I125" t="s">
        <v>856</v>
      </c>
      <c r="J125">
        <v>1982.09</v>
      </c>
      <c r="K125">
        <v>4680.47</v>
      </c>
      <c r="L125">
        <v>5382.54</v>
      </c>
      <c r="M125" t="s">
        <v>847</v>
      </c>
      <c r="N125" t="s">
        <v>19</v>
      </c>
      <c r="O125" t="s">
        <v>19</v>
      </c>
      <c r="P125" t="s">
        <v>848</v>
      </c>
      <c r="Q125">
        <v>1</v>
      </c>
      <c r="R125" t="s">
        <v>3876</v>
      </c>
    </row>
    <row r="126" spans="1:18" x14ac:dyDescent="0.2">
      <c r="A126" t="s">
        <v>859</v>
      </c>
      <c r="B126" t="s">
        <v>860</v>
      </c>
      <c r="C126" t="s">
        <v>862</v>
      </c>
      <c r="D126" t="s">
        <v>168</v>
      </c>
      <c r="E126" t="s">
        <v>863</v>
      </c>
      <c r="F126" t="s">
        <v>864</v>
      </c>
      <c r="G126" t="s">
        <v>865</v>
      </c>
      <c r="H126" t="s">
        <v>3872</v>
      </c>
      <c r="I126" t="s">
        <v>861</v>
      </c>
      <c r="J126">
        <v>690</v>
      </c>
      <c r="K126">
        <v>1982.09</v>
      </c>
      <c r="L126">
        <v>2279.4</v>
      </c>
      <c r="M126" t="s">
        <v>857</v>
      </c>
      <c r="N126" t="s">
        <v>19</v>
      </c>
      <c r="O126" t="s">
        <v>19</v>
      </c>
      <c r="P126" t="s">
        <v>858</v>
      </c>
      <c r="Q126">
        <v>0</v>
      </c>
      <c r="R126" t="s">
        <v>3876</v>
      </c>
    </row>
    <row r="127" spans="1:18" x14ac:dyDescent="0.2">
      <c r="A127" t="s">
        <v>868</v>
      </c>
      <c r="B127" t="s">
        <v>869</v>
      </c>
      <c r="C127" t="s">
        <v>871</v>
      </c>
      <c r="D127" t="s">
        <v>872</v>
      </c>
      <c r="E127" t="s">
        <v>873</v>
      </c>
      <c r="F127" t="s">
        <v>435</v>
      </c>
      <c r="G127" t="s">
        <v>817</v>
      </c>
      <c r="H127" t="s">
        <v>3872</v>
      </c>
      <c r="I127" t="s">
        <v>870</v>
      </c>
      <c r="J127">
        <v>1822.48</v>
      </c>
      <c r="K127">
        <v>690</v>
      </c>
      <c r="L127">
        <v>793.5</v>
      </c>
      <c r="M127" t="s">
        <v>866</v>
      </c>
      <c r="N127" t="s">
        <v>19</v>
      </c>
      <c r="O127" t="s">
        <v>19</v>
      </c>
      <c r="P127" t="s">
        <v>867</v>
      </c>
      <c r="Q127">
        <v>1</v>
      </c>
      <c r="R127" t="s">
        <v>3876</v>
      </c>
    </row>
    <row r="128" spans="1:18" x14ac:dyDescent="0.2">
      <c r="A128" t="s">
        <v>876</v>
      </c>
      <c r="B128" t="s">
        <v>869</v>
      </c>
      <c r="C128" t="s">
        <v>871</v>
      </c>
      <c r="D128" t="s">
        <v>872</v>
      </c>
      <c r="E128" t="s">
        <v>877</v>
      </c>
      <c r="F128" t="s">
        <v>435</v>
      </c>
      <c r="G128" t="s">
        <v>817</v>
      </c>
      <c r="H128" t="s">
        <v>3872</v>
      </c>
      <c r="I128" t="s">
        <v>870</v>
      </c>
      <c r="J128">
        <v>17838.919999999998</v>
      </c>
      <c r="K128">
        <v>1822.48</v>
      </c>
      <c r="L128">
        <v>2095.85</v>
      </c>
      <c r="M128" t="s">
        <v>874</v>
      </c>
      <c r="N128" t="s">
        <v>19</v>
      </c>
      <c r="O128" t="s">
        <v>19</v>
      </c>
      <c r="P128" t="s">
        <v>875</v>
      </c>
      <c r="Q128">
        <v>5</v>
      </c>
      <c r="R128" t="s">
        <v>3876</v>
      </c>
    </row>
    <row r="129" spans="1:18" x14ac:dyDescent="0.2">
      <c r="A129" t="s">
        <v>880</v>
      </c>
      <c r="B129" t="s">
        <v>881</v>
      </c>
      <c r="C129" t="s">
        <v>14</v>
      </c>
      <c r="D129" t="s">
        <v>14</v>
      </c>
      <c r="E129" t="s">
        <v>283</v>
      </c>
      <c r="F129" t="s">
        <v>435</v>
      </c>
      <c r="G129" t="s">
        <v>817</v>
      </c>
      <c r="H129" s="2" t="s">
        <v>3871</v>
      </c>
      <c r="I129" t="s">
        <v>882</v>
      </c>
      <c r="J129">
        <v>35256.199999999997</v>
      </c>
      <c r="K129">
        <v>17838.919999999998</v>
      </c>
      <c r="L129">
        <v>20514.759999999998</v>
      </c>
      <c r="M129" t="s">
        <v>878</v>
      </c>
      <c r="N129" t="s">
        <v>19</v>
      </c>
      <c r="O129" t="s">
        <v>19</v>
      </c>
      <c r="P129" t="s">
        <v>879</v>
      </c>
      <c r="Q129">
        <v>4</v>
      </c>
      <c r="R129" t="s">
        <v>3879</v>
      </c>
    </row>
    <row r="130" spans="1:18" x14ac:dyDescent="0.2">
      <c r="A130" t="s">
        <v>885</v>
      </c>
      <c r="B130" t="s">
        <v>148</v>
      </c>
      <c r="C130" t="s">
        <v>113</v>
      </c>
      <c r="D130" t="s">
        <v>151</v>
      </c>
      <c r="E130" t="s">
        <v>886</v>
      </c>
      <c r="F130" t="s">
        <v>435</v>
      </c>
      <c r="G130" t="s">
        <v>817</v>
      </c>
      <c r="H130" t="s">
        <v>3872</v>
      </c>
      <c r="I130" t="s">
        <v>149</v>
      </c>
      <c r="J130">
        <v>5866.54</v>
      </c>
      <c r="K130">
        <v>35256.199999999997</v>
      </c>
      <c r="L130">
        <v>40544.629999999997</v>
      </c>
      <c r="M130" t="s">
        <v>883</v>
      </c>
      <c r="N130" t="s">
        <v>19</v>
      </c>
      <c r="O130" t="s">
        <v>19</v>
      </c>
      <c r="P130" t="s">
        <v>884</v>
      </c>
      <c r="Q130">
        <v>0</v>
      </c>
      <c r="R130" t="s">
        <v>3876</v>
      </c>
    </row>
    <row r="131" spans="1:18" x14ac:dyDescent="0.2">
      <c r="A131" t="s">
        <v>889</v>
      </c>
      <c r="B131" t="s">
        <v>148</v>
      </c>
      <c r="C131" t="s">
        <v>113</v>
      </c>
      <c r="D131" t="s">
        <v>151</v>
      </c>
      <c r="E131" t="s">
        <v>890</v>
      </c>
      <c r="F131" t="s">
        <v>435</v>
      </c>
      <c r="G131" t="s">
        <v>817</v>
      </c>
      <c r="H131" t="s">
        <v>3872</v>
      </c>
      <c r="I131" t="s">
        <v>149</v>
      </c>
      <c r="J131">
        <v>10467</v>
      </c>
      <c r="K131">
        <v>5866.54</v>
      </c>
      <c r="L131">
        <v>6746.52</v>
      </c>
      <c r="M131" t="s">
        <v>887</v>
      </c>
      <c r="N131" t="s">
        <v>19</v>
      </c>
      <c r="O131" t="s">
        <v>19</v>
      </c>
      <c r="P131" t="s">
        <v>888</v>
      </c>
      <c r="Q131">
        <v>0</v>
      </c>
      <c r="R131" t="s">
        <v>3876</v>
      </c>
    </row>
    <row r="132" spans="1:18" x14ac:dyDescent="0.2">
      <c r="A132" t="s">
        <v>893</v>
      </c>
      <c r="B132" t="s">
        <v>894</v>
      </c>
      <c r="C132" t="s">
        <v>14</v>
      </c>
      <c r="D132" t="s">
        <v>14</v>
      </c>
      <c r="E132" t="s">
        <v>895</v>
      </c>
      <c r="F132" t="s">
        <v>435</v>
      </c>
      <c r="G132" t="s">
        <v>817</v>
      </c>
      <c r="H132" t="s">
        <v>3872</v>
      </c>
      <c r="I132" t="s">
        <v>896</v>
      </c>
      <c r="J132">
        <v>208188.64</v>
      </c>
      <c r="K132">
        <v>10467</v>
      </c>
      <c r="L132">
        <v>12037.05</v>
      </c>
      <c r="M132" t="s">
        <v>891</v>
      </c>
      <c r="N132" t="s">
        <v>19</v>
      </c>
      <c r="O132" t="s">
        <v>19</v>
      </c>
      <c r="P132" t="s">
        <v>892</v>
      </c>
      <c r="Q132">
        <v>95</v>
      </c>
      <c r="R132" t="s">
        <v>3876</v>
      </c>
    </row>
    <row r="133" spans="1:18" x14ac:dyDescent="0.2">
      <c r="A133" t="s">
        <v>900</v>
      </c>
      <c r="B133" t="s">
        <v>497</v>
      </c>
      <c r="C133" t="s">
        <v>84</v>
      </c>
      <c r="D133" t="s">
        <v>499</v>
      </c>
      <c r="E133" t="s">
        <v>901</v>
      </c>
      <c r="F133" t="s">
        <v>422</v>
      </c>
      <c r="G133" t="s">
        <v>899</v>
      </c>
      <c r="H133" t="s">
        <v>3872</v>
      </c>
      <c r="I133" t="s">
        <v>498</v>
      </c>
      <c r="J133">
        <v>9060.2099999999991</v>
      </c>
      <c r="K133">
        <v>208188.64</v>
      </c>
      <c r="L133">
        <v>239416.93</v>
      </c>
      <c r="M133" t="s">
        <v>897</v>
      </c>
      <c r="N133" t="s">
        <v>19</v>
      </c>
      <c r="O133" t="s">
        <v>19</v>
      </c>
      <c r="P133" t="s">
        <v>898</v>
      </c>
      <c r="Q133">
        <v>1</v>
      </c>
      <c r="R133" t="s">
        <v>3876</v>
      </c>
    </row>
    <row r="134" spans="1:18" x14ac:dyDescent="0.2">
      <c r="A134" t="s">
        <v>904</v>
      </c>
      <c r="B134" t="s">
        <v>119</v>
      </c>
      <c r="C134" t="s">
        <v>121</v>
      </c>
      <c r="D134" t="s">
        <v>122</v>
      </c>
      <c r="E134" t="s">
        <v>905</v>
      </c>
      <c r="F134" t="s">
        <v>422</v>
      </c>
      <c r="G134" t="s">
        <v>899</v>
      </c>
      <c r="H134" s="2" t="s">
        <v>3871</v>
      </c>
      <c r="I134" t="s">
        <v>906</v>
      </c>
      <c r="J134">
        <v>2515.9299999999998</v>
      </c>
      <c r="K134">
        <v>9060.2099999999991</v>
      </c>
      <c r="L134">
        <v>10419.25</v>
      </c>
      <c r="M134" t="s">
        <v>902</v>
      </c>
      <c r="N134" t="s">
        <v>19</v>
      </c>
      <c r="O134" t="s">
        <v>19</v>
      </c>
      <c r="P134" t="s">
        <v>903</v>
      </c>
      <c r="Q134">
        <v>0</v>
      </c>
      <c r="R134" t="s">
        <v>3876</v>
      </c>
    </row>
    <row r="135" spans="1:18" x14ac:dyDescent="0.2">
      <c r="A135" t="s">
        <v>909</v>
      </c>
      <c r="B135" t="s">
        <v>335</v>
      </c>
      <c r="C135" t="s">
        <v>14</v>
      </c>
      <c r="D135" t="s">
        <v>336</v>
      </c>
      <c r="E135" t="s">
        <v>910</v>
      </c>
      <c r="F135" t="s">
        <v>911</v>
      </c>
      <c r="G135" t="s">
        <v>912</v>
      </c>
      <c r="H135" s="2" t="s">
        <v>3871</v>
      </c>
      <c r="I135" t="s">
        <v>913</v>
      </c>
      <c r="J135">
        <v>86297.2</v>
      </c>
      <c r="K135">
        <v>2515.9299999999998</v>
      </c>
      <c r="L135">
        <v>2893.32</v>
      </c>
      <c r="M135" t="s">
        <v>907</v>
      </c>
      <c r="N135" t="s">
        <v>19</v>
      </c>
      <c r="O135" t="s">
        <v>19</v>
      </c>
      <c r="P135" t="s">
        <v>908</v>
      </c>
      <c r="Q135">
        <v>15</v>
      </c>
      <c r="R135" t="s">
        <v>3876</v>
      </c>
    </row>
    <row r="136" spans="1:18" x14ac:dyDescent="0.2">
      <c r="A136" t="s">
        <v>916</v>
      </c>
      <c r="B136" t="s">
        <v>293</v>
      </c>
      <c r="C136" t="s">
        <v>295</v>
      </c>
      <c r="D136" t="s">
        <v>130</v>
      </c>
      <c r="E136" t="s">
        <v>917</v>
      </c>
      <c r="F136" t="s">
        <v>911</v>
      </c>
      <c r="G136" t="s">
        <v>912</v>
      </c>
      <c r="H136" t="s">
        <v>3872</v>
      </c>
      <c r="I136" t="s">
        <v>294</v>
      </c>
      <c r="J136">
        <v>25914.31</v>
      </c>
      <c r="K136">
        <v>86297.2</v>
      </c>
      <c r="L136">
        <v>99241.78</v>
      </c>
      <c r="M136" t="s">
        <v>914</v>
      </c>
      <c r="N136" t="s">
        <v>19</v>
      </c>
      <c r="O136" t="s">
        <v>19</v>
      </c>
      <c r="P136" t="s">
        <v>915</v>
      </c>
      <c r="Q136">
        <v>3</v>
      </c>
      <c r="R136" t="s">
        <v>3877</v>
      </c>
    </row>
    <row r="137" spans="1:18" x14ac:dyDescent="0.2">
      <c r="A137" t="s">
        <v>920</v>
      </c>
      <c r="B137" t="s">
        <v>921</v>
      </c>
      <c r="C137" t="s">
        <v>14</v>
      </c>
      <c r="D137" t="s">
        <v>14</v>
      </c>
      <c r="E137" t="s">
        <v>922</v>
      </c>
      <c r="F137" t="s">
        <v>911</v>
      </c>
      <c r="G137" t="s">
        <v>912</v>
      </c>
      <c r="H137" s="2" t="s">
        <v>3871</v>
      </c>
      <c r="I137" t="s">
        <v>923</v>
      </c>
      <c r="J137">
        <v>2248.1</v>
      </c>
      <c r="K137">
        <v>25914.31</v>
      </c>
      <c r="L137">
        <v>29801.46</v>
      </c>
      <c r="M137" t="s">
        <v>918</v>
      </c>
      <c r="N137" t="s">
        <v>19</v>
      </c>
      <c r="O137" t="s">
        <v>19</v>
      </c>
      <c r="P137" t="s">
        <v>919</v>
      </c>
      <c r="Q137">
        <v>1</v>
      </c>
      <c r="R137" t="s">
        <v>3877</v>
      </c>
    </row>
    <row r="138" spans="1:18" x14ac:dyDescent="0.2">
      <c r="A138" t="s">
        <v>926</v>
      </c>
      <c r="B138" t="s">
        <v>526</v>
      </c>
      <c r="C138" t="s">
        <v>14</v>
      </c>
      <c r="D138" t="s">
        <v>713</v>
      </c>
      <c r="E138" t="s">
        <v>927</v>
      </c>
      <c r="F138" t="s">
        <v>928</v>
      </c>
      <c r="G138" t="s">
        <v>929</v>
      </c>
      <c r="H138" t="s">
        <v>3872</v>
      </c>
      <c r="I138" t="s">
        <v>527</v>
      </c>
      <c r="J138">
        <v>26924.42</v>
      </c>
      <c r="K138">
        <v>2248.1</v>
      </c>
      <c r="L138">
        <v>2585.3200000000002</v>
      </c>
      <c r="M138" t="s">
        <v>924</v>
      </c>
      <c r="N138" t="s">
        <v>19</v>
      </c>
      <c r="O138" t="s">
        <v>19</v>
      </c>
      <c r="P138" t="s">
        <v>925</v>
      </c>
      <c r="Q138">
        <v>3</v>
      </c>
      <c r="R138" t="s">
        <v>3877</v>
      </c>
    </row>
    <row r="139" spans="1:18" x14ac:dyDescent="0.2">
      <c r="A139" t="s">
        <v>932</v>
      </c>
      <c r="B139" t="s">
        <v>526</v>
      </c>
      <c r="C139" t="s">
        <v>14</v>
      </c>
      <c r="D139" t="s">
        <v>713</v>
      </c>
      <c r="E139" t="s">
        <v>933</v>
      </c>
      <c r="F139" t="s">
        <v>928</v>
      </c>
      <c r="G139" t="s">
        <v>929</v>
      </c>
      <c r="H139" s="2" t="s">
        <v>3871</v>
      </c>
      <c r="I139" t="s">
        <v>527</v>
      </c>
      <c r="J139">
        <v>19841.349999999999</v>
      </c>
      <c r="K139">
        <v>26924.42</v>
      </c>
      <c r="L139">
        <v>30963.08</v>
      </c>
      <c r="M139" t="s">
        <v>930</v>
      </c>
      <c r="N139" t="s">
        <v>19</v>
      </c>
      <c r="O139" t="s">
        <v>18</v>
      </c>
      <c r="P139" t="s">
        <v>931</v>
      </c>
      <c r="Q139">
        <v>3</v>
      </c>
      <c r="R139" t="s">
        <v>3876</v>
      </c>
    </row>
    <row r="140" spans="1:18" x14ac:dyDescent="0.2">
      <c r="A140" t="s">
        <v>936</v>
      </c>
      <c r="B140" t="s">
        <v>620</v>
      </c>
      <c r="C140" t="s">
        <v>84</v>
      </c>
      <c r="D140" t="s">
        <v>622</v>
      </c>
      <c r="E140" t="s">
        <v>937</v>
      </c>
      <c r="F140" t="s">
        <v>928</v>
      </c>
      <c r="G140" t="s">
        <v>929</v>
      </c>
      <c r="H140" t="s">
        <v>3872</v>
      </c>
      <c r="I140" t="s">
        <v>621</v>
      </c>
      <c r="J140">
        <v>8956.5</v>
      </c>
      <c r="K140">
        <v>19841.349999999999</v>
      </c>
      <c r="L140">
        <v>22817.56</v>
      </c>
      <c r="M140" t="s">
        <v>934</v>
      </c>
      <c r="N140" t="s">
        <v>19</v>
      </c>
      <c r="O140" t="s">
        <v>19</v>
      </c>
      <c r="P140" t="s">
        <v>935</v>
      </c>
      <c r="Q140">
        <v>0</v>
      </c>
      <c r="R140" t="s">
        <v>3877</v>
      </c>
    </row>
    <row r="141" spans="1:18" x14ac:dyDescent="0.2">
      <c r="A141" t="s">
        <v>940</v>
      </c>
      <c r="B141" t="s">
        <v>526</v>
      </c>
      <c r="C141" t="s">
        <v>14</v>
      </c>
      <c r="D141" t="s">
        <v>713</v>
      </c>
      <c r="E141" t="s">
        <v>941</v>
      </c>
      <c r="F141" t="s">
        <v>928</v>
      </c>
      <c r="G141" t="s">
        <v>929</v>
      </c>
      <c r="H141" s="2" t="s">
        <v>3871</v>
      </c>
      <c r="I141" t="s">
        <v>527</v>
      </c>
      <c r="J141">
        <v>35680.44</v>
      </c>
      <c r="K141">
        <v>8956.5</v>
      </c>
      <c r="L141">
        <v>10299.98</v>
      </c>
      <c r="M141" t="s">
        <v>938</v>
      </c>
      <c r="N141" t="s">
        <v>19</v>
      </c>
      <c r="O141" t="s">
        <v>19</v>
      </c>
      <c r="P141" t="s">
        <v>939</v>
      </c>
      <c r="Q141">
        <v>6</v>
      </c>
      <c r="R141" t="s">
        <v>3876</v>
      </c>
    </row>
    <row r="142" spans="1:18" x14ac:dyDescent="0.2">
      <c r="A142" t="s">
        <v>944</v>
      </c>
      <c r="B142" t="s">
        <v>217</v>
      </c>
      <c r="C142" t="s">
        <v>121</v>
      </c>
      <c r="D142" t="s">
        <v>219</v>
      </c>
      <c r="E142" t="s">
        <v>945</v>
      </c>
      <c r="F142" t="s">
        <v>928</v>
      </c>
      <c r="G142" t="s">
        <v>929</v>
      </c>
      <c r="H142" s="2" t="s">
        <v>3871</v>
      </c>
      <c r="I142" t="s">
        <v>946</v>
      </c>
      <c r="J142">
        <v>54131.5</v>
      </c>
      <c r="K142">
        <v>35680.44</v>
      </c>
      <c r="L142">
        <v>41032.5</v>
      </c>
      <c r="M142" t="s">
        <v>942</v>
      </c>
      <c r="N142" t="s">
        <v>19</v>
      </c>
      <c r="O142" t="s">
        <v>19</v>
      </c>
      <c r="P142" t="s">
        <v>943</v>
      </c>
      <c r="Q142">
        <v>24</v>
      </c>
      <c r="R142" t="s">
        <v>3876</v>
      </c>
    </row>
    <row r="143" spans="1:18" x14ac:dyDescent="0.2">
      <c r="A143" t="s">
        <v>949</v>
      </c>
      <c r="B143" t="s">
        <v>620</v>
      </c>
      <c r="C143" t="s">
        <v>84</v>
      </c>
      <c r="D143" t="s">
        <v>622</v>
      </c>
      <c r="E143" t="s">
        <v>950</v>
      </c>
      <c r="F143" t="s">
        <v>951</v>
      </c>
      <c r="G143" t="s">
        <v>952</v>
      </c>
      <c r="H143" t="s">
        <v>3872</v>
      </c>
      <c r="I143" t="s">
        <v>621</v>
      </c>
      <c r="J143">
        <v>14253.21</v>
      </c>
      <c r="K143">
        <v>54131.5</v>
      </c>
      <c r="L143">
        <v>62251.23</v>
      </c>
      <c r="M143" t="s">
        <v>947</v>
      </c>
      <c r="N143" t="s">
        <v>19</v>
      </c>
      <c r="O143" t="s">
        <v>19</v>
      </c>
      <c r="P143" t="s">
        <v>948</v>
      </c>
      <c r="Q143">
        <v>1</v>
      </c>
      <c r="R143" t="s">
        <v>3877</v>
      </c>
    </row>
    <row r="144" spans="1:18" x14ac:dyDescent="0.2">
      <c r="A144" t="s">
        <v>955</v>
      </c>
      <c r="B144" t="s">
        <v>148</v>
      </c>
      <c r="C144" t="s">
        <v>113</v>
      </c>
      <c r="D144" t="s">
        <v>151</v>
      </c>
      <c r="E144" t="s">
        <v>956</v>
      </c>
      <c r="F144" t="s">
        <v>928</v>
      </c>
      <c r="G144" t="s">
        <v>929</v>
      </c>
      <c r="H144" t="s">
        <v>3872</v>
      </c>
      <c r="I144" t="s">
        <v>149</v>
      </c>
      <c r="J144">
        <v>19372.54</v>
      </c>
      <c r="K144">
        <v>14253.21</v>
      </c>
      <c r="L144">
        <v>16391.2</v>
      </c>
      <c r="M144" t="s">
        <v>953</v>
      </c>
      <c r="N144" t="s">
        <v>19</v>
      </c>
      <c r="O144" t="s">
        <v>19</v>
      </c>
      <c r="P144" t="s">
        <v>954</v>
      </c>
      <c r="Q144">
        <v>0</v>
      </c>
      <c r="R144" t="s">
        <v>3877</v>
      </c>
    </row>
    <row r="145" spans="1:18" x14ac:dyDescent="0.2">
      <c r="A145" t="s">
        <v>959</v>
      </c>
      <c r="B145" t="s">
        <v>526</v>
      </c>
      <c r="C145" t="s">
        <v>528</v>
      </c>
      <c r="D145" t="s">
        <v>528</v>
      </c>
      <c r="E145" t="s">
        <v>960</v>
      </c>
      <c r="F145" t="s">
        <v>961</v>
      </c>
      <c r="G145" t="s">
        <v>962</v>
      </c>
      <c r="H145" t="s">
        <v>3872</v>
      </c>
      <c r="I145" t="s">
        <v>527</v>
      </c>
      <c r="J145">
        <v>15000</v>
      </c>
      <c r="K145">
        <v>19372.54</v>
      </c>
      <c r="L145">
        <v>22278.42</v>
      </c>
      <c r="M145" t="s">
        <v>957</v>
      </c>
      <c r="N145" t="s">
        <v>19</v>
      </c>
      <c r="O145" t="s">
        <v>18</v>
      </c>
      <c r="P145" t="s">
        <v>958</v>
      </c>
      <c r="Q145">
        <v>0</v>
      </c>
      <c r="R145" t="s">
        <v>3876</v>
      </c>
    </row>
    <row r="146" spans="1:18" x14ac:dyDescent="0.2">
      <c r="A146" t="s">
        <v>965</v>
      </c>
      <c r="B146" t="s">
        <v>302</v>
      </c>
      <c r="C146" t="s">
        <v>304</v>
      </c>
      <c r="D146" t="s">
        <v>305</v>
      </c>
      <c r="E146" t="s">
        <v>966</v>
      </c>
      <c r="F146" t="s">
        <v>961</v>
      </c>
      <c r="G146" t="s">
        <v>962</v>
      </c>
      <c r="H146" t="s">
        <v>3872</v>
      </c>
      <c r="I146" t="s">
        <v>303</v>
      </c>
      <c r="J146">
        <v>8218</v>
      </c>
      <c r="K146">
        <v>15000</v>
      </c>
      <c r="L146">
        <v>17250</v>
      </c>
      <c r="M146" t="s">
        <v>963</v>
      </c>
      <c r="N146" t="s">
        <v>19</v>
      </c>
      <c r="O146" t="s">
        <v>19</v>
      </c>
      <c r="P146" t="s">
        <v>964</v>
      </c>
      <c r="Q146">
        <v>0</v>
      </c>
      <c r="R146" t="s">
        <v>3876</v>
      </c>
    </row>
    <row r="147" spans="1:18" x14ac:dyDescent="0.2">
      <c r="A147" t="s">
        <v>969</v>
      </c>
      <c r="B147" t="s">
        <v>970</v>
      </c>
      <c r="C147" t="s">
        <v>972</v>
      </c>
      <c r="D147" t="s">
        <v>972</v>
      </c>
      <c r="E147" t="s">
        <v>973</v>
      </c>
      <c r="F147" t="s">
        <v>961</v>
      </c>
      <c r="G147" t="s">
        <v>962</v>
      </c>
      <c r="H147" t="s">
        <v>3872</v>
      </c>
      <c r="I147" t="s">
        <v>971</v>
      </c>
      <c r="J147">
        <v>30156.2</v>
      </c>
      <c r="K147">
        <v>8218</v>
      </c>
      <c r="L147">
        <v>9450.7000000000007</v>
      </c>
      <c r="M147" t="s">
        <v>967</v>
      </c>
      <c r="N147" t="s">
        <v>19</v>
      </c>
      <c r="O147" t="s">
        <v>18</v>
      </c>
      <c r="P147" t="s">
        <v>968</v>
      </c>
      <c r="Q147">
        <v>12</v>
      </c>
      <c r="R147" t="s">
        <v>3880</v>
      </c>
    </row>
    <row r="148" spans="1:18" x14ac:dyDescent="0.2">
      <c r="A148" t="s">
        <v>975</v>
      </c>
      <c r="B148" t="s">
        <v>585</v>
      </c>
      <c r="C148" t="s">
        <v>976</v>
      </c>
      <c r="D148" t="s">
        <v>977</v>
      </c>
      <c r="E148" t="s">
        <v>978</v>
      </c>
      <c r="F148" t="s">
        <v>961</v>
      </c>
      <c r="G148" t="s">
        <v>962</v>
      </c>
      <c r="H148" t="s">
        <v>3872</v>
      </c>
      <c r="I148" t="s">
        <v>586</v>
      </c>
      <c r="J148">
        <v>22327</v>
      </c>
      <c r="K148">
        <v>30156.2</v>
      </c>
      <c r="L148">
        <v>34679.629999999997</v>
      </c>
      <c r="M148" t="s">
        <v>974</v>
      </c>
      <c r="N148" t="s">
        <v>19</v>
      </c>
      <c r="O148" t="s">
        <v>19</v>
      </c>
      <c r="P148" t="s">
        <v>974</v>
      </c>
      <c r="Q148">
        <v>1</v>
      </c>
      <c r="R148" t="s">
        <v>3877</v>
      </c>
    </row>
    <row r="149" spans="1:18" x14ac:dyDescent="0.2">
      <c r="A149" t="s">
        <v>981</v>
      </c>
      <c r="B149" t="s">
        <v>982</v>
      </c>
      <c r="C149" t="s">
        <v>983</v>
      </c>
      <c r="D149" t="s">
        <v>983</v>
      </c>
      <c r="E149" t="s">
        <v>984</v>
      </c>
      <c r="F149" t="s">
        <v>521</v>
      </c>
      <c r="G149" t="s">
        <v>985</v>
      </c>
      <c r="H149" t="s">
        <v>3872</v>
      </c>
      <c r="I149" t="s">
        <v>986</v>
      </c>
      <c r="J149">
        <v>9120.2099999999991</v>
      </c>
      <c r="K149">
        <v>22327</v>
      </c>
      <c r="L149">
        <v>25676.05</v>
      </c>
      <c r="M149" t="s">
        <v>979</v>
      </c>
      <c r="N149" t="s">
        <v>19</v>
      </c>
      <c r="O149" t="s">
        <v>18</v>
      </c>
      <c r="P149" t="s">
        <v>980</v>
      </c>
      <c r="Q149">
        <v>1</v>
      </c>
      <c r="R149" t="s">
        <v>3876</v>
      </c>
    </row>
    <row r="150" spans="1:18" x14ac:dyDescent="0.2">
      <c r="A150" t="s">
        <v>989</v>
      </c>
      <c r="B150" t="s">
        <v>766</v>
      </c>
      <c r="C150" t="s">
        <v>767</v>
      </c>
      <c r="D150" t="s">
        <v>768</v>
      </c>
      <c r="E150" t="s">
        <v>990</v>
      </c>
      <c r="F150" t="s">
        <v>493</v>
      </c>
      <c r="G150" t="s">
        <v>962</v>
      </c>
      <c r="H150" s="2" t="s">
        <v>3871</v>
      </c>
      <c r="I150" t="s">
        <v>991</v>
      </c>
      <c r="J150">
        <v>26096.36</v>
      </c>
      <c r="K150">
        <v>9120.2099999999991</v>
      </c>
      <c r="L150">
        <v>10488.25</v>
      </c>
      <c r="M150" t="s">
        <v>987</v>
      </c>
      <c r="N150" t="s">
        <v>19</v>
      </c>
      <c r="O150" t="s">
        <v>772</v>
      </c>
      <c r="P150" t="s">
        <v>988</v>
      </c>
      <c r="Q150">
        <v>0</v>
      </c>
      <c r="R150" t="s">
        <v>3877</v>
      </c>
    </row>
    <row r="151" spans="1:18" x14ac:dyDescent="0.2">
      <c r="A151" t="s">
        <v>994</v>
      </c>
      <c r="B151" t="s">
        <v>881</v>
      </c>
      <c r="C151" t="s">
        <v>14</v>
      </c>
      <c r="D151" t="s">
        <v>14</v>
      </c>
      <c r="E151" t="s">
        <v>283</v>
      </c>
      <c r="F151" t="s">
        <v>493</v>
      </c>
      <c r="G151" t="s">
        <v>995</v>
      </c>
      <c r="H151" s="2" t="s">
        <v>3871</v>
      </c>
      <c r="I151" t="s">
        <v>882</v>
      </c>
      <c r="J151">
        <v>8712.4</v>
      </c>
      <c r="K151">
        <v>26096.36</v>
      </c>
      <c r="L151">
        <v>30010.81</v>
      </c>
      <c r="M151" t="s">
        <v>992</v>
      </c>
      <c r="N151" t="s">
        <v>19</v>
      </c>
      <c r="O151" t="s">
        <v>19</v>
      </c>
      <c r="P151" t="s">
        <v>993</v>
      </c>
      <c r="Q151">
        <v>4</v>
      </c>
      <c r="R151" t="s">
        <v>3877</v>
      </c>
    </row>
    <row r="152" spans="1:18" x14ac:dyDescent="0.2">
      <c r="A152" t="s">
        <v>998</v>
      </c>
      <c r="B152" t="s">
        <v>233</v>
      </c>
      <c r="C152" t="s">
        <v>14</v>
      </c>
      <c r="D152" t="s">
        <v>235</v>
      </c>
      <c r="E152" t="s">
        <v>999</v>
      </c>
      <c r="F152" t="s">
        <v>493</v>
      </c>
      <c r="G152" t="s">
        <v>995</v>
      </c>
      <c r="H152" t="s">
        <v>3872</v>
      </c>
      <c r="I152" t="s">
        <v>234</v>
      </c>
      <c r="J152">
        <v>27360.63</v>
      </c>
      <c r="K152">
        <v>8712.4</v>
      </c>
      <c r="L152">
        <v>10019.26</v>
      </c>
      <c r="M152" t="s">
        <v>996</v>
      </c>
      <c r="N152" t="s">
        <v>19</v>
      </c>
      <c r="O152" t="s">
        <v>18</v>
      </c>
      <c r="P152" t="s">
        <v>997</v>
      </c>
      <c r="Q152">
        <v>3</v>
      </c>
      <c r="R152" t="s">
        <v>3876</v>
      </c>
    </row>
    <row r="153" spans="1:18" x14ac:dyDescent="0.2">
      <c r="A153" t="s">
        <v>1002</v>
      </c>
      <c r="B153" t="s">
        <v>1003</v>
      </c>
      <c r="C153" t="s">
        <v>235</v>
      </c>
      <c r="D153" t="s">
        <v>235</v>
      </c>
      <c r="E153" t="s">
        <v>1005</v>
      </c>
      <c r="F153" t="s">
        <v>493</v>
      </c>
      <c r="G153" t="s">
        <v>995</v>
      </c>
      <c r="H153" t="s">
        <v>3872</v>
      </c>
      <c r="I153" t="s">
        <v>1004</v>
      </c>
      <c r="J153">
        <v>27360.63</v>
      </c>
      <c r="K153">
        <v>27360.63</v>
      </c>
      <c r="L153">
        <v>31464.73</v>
      </c>
      <c r="M153" t="s">
        <v>1000</v>
      </c>
      <c r="N153" t="s">
        <v>19</v>
      </c>
      <c r="O153" t="s">
        <v>19</v>
      </c>
      <c r="P153" t="s">
        <v>1001</v>
      </c>
      <c r="Q153">
        <v>3</v>
      </c>
      <c r="R153" t="s">
        <v>3876</v>
      </c>
    </row>
    <row r="154" spans="1:18" x14ac:dyDescent="0.2">
      <c r="A154" t="s">
        <v>1008</v>
      </c>
      <c r="B154" t="s">
        <v>1009</v>
      </c>
      <c r="C154" t="s">
        <v>235</v>
      </c>
      <c r="D154" t="s">
        <v>235</v>
      </c>
      <c r="E154" t="s">
        <v>1011</v>
      </c>
      <c r="F154" t="s">
        <v>493</v>
      </c>
      <c r="G154" t="s">
        <v>995</v>
      </c>
      <c r="H154" t="s">
        <v>3872</v>
      </c>
      <c r="I154" t="s">
        <v>1010</v>
      </c>
      <c r="J154">
        <v>18240.419999999998</v>
      </c>
      <c r="K154">
        <v>27360.63</v>
      </c>
      <c r="L154">
        <v>31464.75</v>
      </c>
      <c r="M154" t="s">
        <v>1006</v>
      </c>
      <c r="N154" t="s">
        <v>19</v>
      </c>
      <c r="O154" t="s">
        <v>19</v>
      </c>
      <c r="P154" t="s">
        <v>1007</v>
      </c>
      <c r="Q154">
        <v>2</v>
      </c>
      <c r="R154" t="s">
        <v>3876</v>
      </c>
    </row>
    <row r="155" spans="1:18" x14ac:dyDescent="0.2">
      <c r="A155" t="s">
        <v>1014</v>
      </c>
      <c r="B155" t="s">
        <v>1015</v>
      </c>
      <c r="C155" t="s">
        <v>14</v>
      </c>
      <c r="D155" t="s">
        <v>14</v>
      </c>
      <c r="E155" t="s">
        <v>1017</v>
      </c>
      <c r="F155" t="s">
        <v>493</v>
      </c>
      <c r="G155" t="s">
        <v>995</v>
      </c>
      <c r="H155" t="s">
        <v>3872</v>
      </c>
      <c r="I155" t="s">
        <v>1016</v>
      </c>
      <c r="J155">
        <v>1574405.94</v>
      </c>
      <c r="K155">
        <v>18240.419999999998</v>
      </c>
      <c r="L155">
        <v>20976.5</v>
      </c>
      <c r="M155" t="s">
        <v>1012</v>
      </c>
      <c r="N155" t="s">
        <v>19</v>
      </c>
      <c r="O155" t="s">
        <v>19</v>
      </c>
      <c r="P155" t="s">
        <v>1013</v>
      </c>
      <c r="Q155">
        <v>450</v>
      </c>
      <c r="R155" t="s">
        <v>3876</v>
      </c>
    </row>
    <row r="156" spans="1:18" x14ac:dyDescent="0.2">
      <c r="A156" t="s">
        <v>1020</v>
      </c>
      <c r="B156" t="s">
        <v>1021</v>
      </c>
      <c r="C156" t="s">
        <v>1023</v>
      </c>
      <c r="D156" t="s">
        <v>1023</v>
      </c>
      <c r="E156" t="s">
        <v>1024</v>
      </c>
      <c r="F156" t="s">
        <v>521</v>
      </c>
      <c r="G156" t="s">
        <v>985</v>
      </c>
      <c r="H156" t="s">
        <v>3872</v>
      </c>
      <c r="I156" t="s">
        <v>1025</v>
      </c>
      <c r="J156">
        <v>9238.07</v>
      </c>
      <c r="K156">
        <v>1574405.94</v>
      </c>
      <c r="L156">
        <v>1810566.83</v>
      </c>
      <c r="M156" t="s">
        <v>1018</v>
      </c>
      <c r="N156" t="s">
        <v>19</v>
      </c>
      <c r="O156" t="s">
        <v>19</v>
      </c>
      <c r="P156" t="s">
        <v>1019</v>
      </c>
      <c r="Q156">
        <v>2</v>
      </c>
      <c r="R156" t="s">
        <v>3876</v>
      </c>
    </row>
    <row r="157" spans="1:18" x14ac:dyDescent="0.2">
      <c r="A157" t="s">
        <v>1028</v>
      </c>
      <c r="B157" t="s">
        <v>1029</v>
      </c>
      <c r="C157" t="s">
        <v>121</v>
      </c>
      <c r="D157" t="s">
        <v>1031</v>
      </c>
      <c r="E157" t="s">
        <v>1032</v>
      </c>
      <c r="F157" t="s">
        <v>521</v>
      </c>
      <c r="G157" t="s">
        <v>985</v>
      </c>
      <c r="H157" t="s">
        <v>3872</v>
      </c>
      <c r="I157" t="s">
        <v>1033</v>
      </c>
      <c r="J157">
        <v>9238.07</v>
      </c>
      <c r="K157">
        <v>9238.07</v>
      </c>
      <c r="L157">
        <v>10623.78</v>
      </c>
      <c r="M157" t="s">
        <v>1026</v>
      </c>
      <c r="N157" t="s">
        <v>19</v>
      </c>
      <c r="O157" t="s">
        <v>772</v>
      </c>
      <c r="P157" t="s">
        <v>1027</v>
      </c>
      <c r="Q157">
        <v>2</v>
      </c>
      <c r="R157" t="s">
        <v>3876</v>
      </c>
    </row>
    <row r="158" spans="1:18" x14ac:dyDescent="0.2">
      <c r="A158" t="s">
        <v>1036</v>
      </c>
      <c r="B158" t="s">
        <v>1037</v>
      </c>
      <c r="C158" t="s">
        <v>1038</v>
      </c>
      <c r="D158" t="s">
        <v>1038</v>
      </c>
      <c r="E158" t="s">
        <v>1039</v>
      </c>
      <c r="F158" t="s">
        <v>521</v>
      </c>
      <c r="G158" t="s">
        <v>985</v>
      </c>
      <c r="H158" t="s">
        <v>3872</v>
      </c>
      <c r="I158" t="s">
        <v>1040</v>
      </c>
      <c r="J158">
        <v>9238.07</v>
      </c>
      <c r="K158">
        <v>9238.07</v>
      </c>
      <c r="L158">
        <v>10623.78</v>
      </c>
      <c r="M158" t="s">
        <v>1034</v>
      </c>
      <c r="N158" t="s">
        <v>19</v>
      </c>
      <c r="O158" t="s">
        <v>19</v>
      </c>
      <c r="P158" t="s">
        <v>1035</v>
      </c>
      <c r="Q158">
        <v>2</v>
      </c>
      <c r="R158" t="s">
        <v>3876</v>
      </c>
    </row>
    <row r="159" spans="1:18" x14ac:dyDescent="0.2">
      <c r="A159" t="s">
        <v>1043</v>
      </c>
      <c r="B159" t="s">
        <v>1044</v>
      </c>
      <c r="C159" t="s">
        <v>113</v>
      </c>
      <c r="D159" t="s">
        <v>1045</v>
      </c>
      <c r="E159" t="s">
        <v>1046</v>
      </c>
      <c r="F159" t="s">
        <v>549</v>
      </c>
      <c r="G159" t="s">
        <v>1047</v>
      </c>
      <c r="H159" s="2" t="s">
        <v>3871</v>
      </c>
      <c r="I159" t="s">
        <v>1048</v>
      </c>
      <c r="J159">
        <v>3663.93</v>
      </c>
      <c r="K159">
        <v>9238.07</v>
      </c>
      <c r="L159">
        <v>10623.78</v>
      </c>
      <c r="M159" t="s">
        <v>1041</v>
      </c>
      <c r="N159" t="s">
        <v>19</v>
      </c>
      <c r="O159" t="s">
        <v>19</v>
      </c>
      <c r="P159" t="s">
        <v>1042</v>
      </c>
      <c r="Q159">
        <v>1</v>
      </c>
      <c r="R159" t="s">
        <v>3876</v>
      </c>
    </row>
    <row r="160" spans="1:18" x14ac:dyDescent="0.2">
      <c r="A160" t="s">
        <v>1051</v>
      </c>
      <c r="B160" t="s">
        <v>148</v>
      </c>
      <c r="C160" t="s">
        <v>1052</v>
      </c>
      <c r="D160" t="s">
        <v>1052</v>
      </c>
      <c r="E160" t="s">
        <v>1053</v>
      </c>
      <c r="F160" t="s">
        <v>1054</v>
      </c>
      <c r="G160" t="s">
        <v>1055</v>
      </c>
      <c r="H160" t="s">
        <v>3872</v>
      </c>
      <c r="I160" t="s">
        <v>149</v>
      </c>
      <c r="J160">
        <v>4932.01</v>
      </c>
      <c r="K160">
        <v>3663.93</v>
      </c>
      <c r="L160">
        <v>4213.5200000000004</v>
      </c>
      <c r="M160" t="s">
        <v>1049</v>
      </c>
      <c r="N160" t="s">
        <v>19</v>
      </c>
      <c r="O160" t="s">
        <v>19</v>
      </c>
      <c r="P160" t="s">
        <v>1050</v>
      </c>
      <c r="Q160">
        <v>0</v>
      </c>
      <c r="R160" t="s">
        <v>3879</v>
      </c>
    </row>
    <row r="161" spans="1:18" x14ac:dyDescent="0.2">
      <c r="A161" t="s">
        <v>1058</v>
      </c>
      <c r="B161" t="s">
        <v>1021</v>
      </c>
      <c r="C161" t="s">
        <v>1023</v>
      </c>
      <c r="D161" t="s">
        <v>1023</v>
      </c>
      <c r="E161" t="s">
        <v>1059</v>
      </c>
      <c r="F161" t="s">
        <v>1054</v>
      </c>
      <c r="G161" t="s">
        <v>1055</v>
      </c>
      <c r="H161" t="s">
        <v>3872</v>
      </c>
      <c r="I161" t="s">
        <v>1022</v>
      </c>
      <c r="J161">
        <v>2400</v>
      </c>
      <c r="K161">
        <v>4932.01</v>
      </c>
      <c r="L161">
        <v>5671.81</v>
      </c>
      <c r="M161" t="s">
        <v>1056</v>
      </c>
      <c r="N161" t="s">
        <v>19</v>
      </c>
      <c r="O161" t="s">
        <v>18</v>
      </c>
      <c r="P161" t="s">
        <v>1057</v>
      </c>
      <c r="Q161">
        <v>0</v>
      </c>
      <c r="R161" t="s">
        <v>3876</v>
      </c>
    </row>
    <row r="162" spans="1:18" x14ac:dyDescent="0.2">
      <c r="A162" t="s">
        <v>1062</v>
      </c>
      <c r="B162" t="s">
        <v>111</v>
      </c>
      <c r="C162" t="s">
        <v>1063</v>
      </c>
      <c r="D162" t="s">
        <v>1063</v>
      </c>
      <c r="E162" t="s">
        <v>1064</v>
      </c>
      <c r="F162" t="s">
        <v>1054</v>
      </c>
      <c r="G162" t="s">
        <v>1055</v>
      </c>
      <c r="H162" t="s">
        <v>3872</v>
      </c>
      <c r="I162" t="s">
        <v>112</v>
      </c>
      <c r="J162">
        <v>22224.37</v>
      </c>
      <c r="K162">
        <v>2400</v>
      </c>
      <c r="L162">
        <v>2760</v>
      </c>
      <c r="M162" t="s">
        <v>1060</v>
      </c>
      <c r="N162" t="s">
        <v>19</v>
      </c>
      <c r="O162" t="s">
        <v>18</v>
      </c>
      <c r="P162" t="s">
        <v>1061</v>
      </c>
      <c r="Q162">
        <v>1</v>
      </c>
      <c r="R162" t="s">
        <v>3876</v>
      </c>
    </row>
    <row r="163" spans="1:18" x14ac:dyDescent="0.2">
      <c r="A163" t="s">
        <v>1067</v>
      </c>
      <c r="B163" t="s">
        <v>119</v>
      </c>
      <c r="C163" t="s">
        <v>121</v>
      </c>
      <c r="D163" t="s">
        <v>122</v>
      </c>
      <c r="E163" t="s">
        <v>14</v>
      </c>
      <c r="F163" t="s">
        <v>1054</v>
      </c>
      <c r="G163" t="s">
        <v>1055</v>
      </c>
      <c r="H163" t="s">
        <v>3872</v>
      </c>
      <c r="I163" t="s">
        <v>1068</v>
      </c>
      <c r="J163">
        <v>37516.199999999997</v>
      </c>
      <c r="K163">
        <v>22224.37</v>
      </c>
      <c r="L163">
        <v>25558.03</v>
      </c>
      <c r="M163" t="s">
        <v>1065</v>
      </c>
      <c r="N163" t="s">
        <v>19</v>
      </c>
      <c r="O163" t="s">
        <v>19</v>
      </c>
      <c r="P163" t="s">
        <v>1066</v>
      </c>
      <c r="Q163">
        <v>0</v>
      </c>
      <c r="R163" t="s">
        <v>3876</v>
      </c>
    </row>
    <row r="164" spans="1:18" x14ac:dyDescent="0.2">
      <c r="A164" t="s">
        <v>1071</v>
      </c>
      <c r="B164" t="s">
        <v>165</v>
      </c>
      <c r="C164" t="s">
        <v>167</v>
      </c>
      <c r="D164" t="s">
        <v>168</v>
      </c>
      <c r="E164" t="s">
        <v>1072</v>
      </c>
      <c r="F164" t="s">
        <v>1073</v>
      </c>
      <c r="G164" t="s">
        <v>1074</v>
      </c>
      <c r="H164" t="s">
        <v>3872</v>
      </c>
      <c r="I164" t="s">
        <v>166</v>
      </c>
      <c r="J164">
        <v>13595</v>
      </c>
      <c r="K164">
        <v>37516.199999999997</v>
      </c>
      <c r="L164">
        <v>43143.64</v>
      </c>
      <c r="M164" t="s">
        <v>1069</v>
      </c>
      <c r="N164" t="s">
        <v>18</v>
      </c>
      <c r="O164" t="s">
        <v>18</v>
      </c>
      <c r="P164" t="s">
        <v>1070</v>
      </c>
      <c r="Q164">
        <v>1</v>
      </c>
      <c r="R164" t="s">
        <v>3877</v>
      </c>
    </row>
    <row r="165" spans="1:18" x14ac:dyDescent="0.2">
      <c r="A165" t="s">
        <v>1077</v>
      </c>
      <c r="B165" t="s">
        <v>1078</v>
      </c>
      <c r="C165" t="s">
        <v>14</v>
      </c>
      <c r="D165" t="s">
        <v>14</v>
      </c>
      <c r="E165" t="s">
        <v>1079</v>
      </c>
      <c r="F165" t="s">
        <v>1080</v>
      </c>
      <c r="G165" t="s">
        <v>1081</v>
      </c>
      <c r="H165" t="s">
        <v>3872</v>
      </c>
      <c r="I165" t="s">
        <v>1082</v>
      </c>
      <c r="J165">
        <v>4193.3999999999996</v>
      </c>
      <c r="K165">
        <v>13595</v>
      </c>
      <c r="L165">
        <v>15634.25</v>
      </c>
      <c r="M165" t="s">
        <v>1075</v>
      </c>
      <c r="N165" t="s">
        <v>19</v>
      </c>
      <c r="O165" t="s">
        <v>18</v>
      </c>
      <c r="P165" t="s">
        <v>1076</v>
      </c>
      <c r="Q165">
        <v>2</v>
      </c>
      <c r="R165" t="s">
        <v>3877</v>
      </c>
    </row>
    <row r="166" spans="1:18" x14ac:dyDescent="0.2">
      <c r="A166" t="s">
        <v>1085</v>
      </c>
      <c r="B166" t="s">
        <v>1086</v>
      </c>
      <c r="C166" t="s">
        <v>1087</v>
      </c>
      <c r="D166" t="s">
        <v>1088</v>
      </c>
      <c r="E166" t="s">
        <v>1089</v>
      </c>
      <c r="F166" t="s">
        <v>1090</v>
      </c>
      <c r="G166" t="s">
        <v>1091</v>
      </c>
      <c r="H166" t="s">
        <v>3872</v>
      </c>
      <c r="I166" t="s">
        <v>1092</v>
      </c>
      <c r="J166">
        <v>44350.43</v>
      </c>
      <c r="K166">
        <v>4193.3999999999996</v>
      </c>
      <c r="L166">
        <v>4822.42</v>
      </c>
      <c r="M166" t="s">
        <v>1083</v>
      </c>
      <c r="N166" t="s">
        <v>19</v>
      </c>
      <c r="O166" t="s">
        <v>19</v>
      </c>
      <c r="P166" t="s">
        <v>1084</v>
      </c>
      <c r="Q166">
        <v>3</v>
      </c>
      <c r="R166" t="s">
        <v>3877</v>
      </c>
    </row>
    <row r="167" spans="1:18" x14ac:dyDescent="0.2">
      <c r="A167" t="s">
        <v>1095</v>
      </c>
      <c r="B167" t="s">
        <v>1096</v>
      </c>
      <c r="C167" t="s">
        <v>14</v>
      </c>
      <c r="D167" t="s">
        <v>1097</v>
      </c>
      <c r="E167" t="s">
        <v>1098</v>
      </c>
      <c r="F167" t="s">
        <v>1090</v>
      </c>
      <c r="G167" t="s">
        <v>1091</v>
      </c>
      <c r="H167" s="2" t="s">
        <v>3871</v>
      </c>
      <c r="I167" t="s">
        <v>1099</v>
      </c>
      <c r="J167">
        <v>39000</v>
      </c>
      <c r="K167">
        <v>44350.43</v>
      </c>
      <c r="L167">
        <v>51002.99</v>
      </c>
      <c r="M167" t="s">
        <v>1093</v>
      </c>
      <c r="N167" t="s">
        <v>19</v>
      </c>
      <c r="O167" t="s">
        <v>18</v>
      </c>
      <c r="P167" t="s">
        <v>1094</v>
      </c>
      <c r="Q167">
        <v>5</v>
      </c>
      <c r="R167" t="s">
        <v>3876</v>
      </c>
    </row>
    <row r="168" spans="1:18" x14ac:dyDescent="0.2">
      <c r="A168" t="s">
        <v>1102</v>
      </c>
      <c r="B168" t="s">
        <v>1103</v>
      </c>
      <c r="C168" t="s">
        <v>1104</v>
      </c>
      <c r="D168" t="s">
        <v>168</v>
      </c>
      <c r="E168" t="s">
        <v>1105</v>
      </c>
      <c r="F168" t="s">
        <v>1090</v>
      </c>
      <c r="G168" t="s">
        <v>1091</v>
      </c>
      <c r="H168" t="s">
        <v>3872</v>
      </c>
      <c r="I168" t="s">
        <v>1106</v>
      </c>
      <c r="J168">
        <v>7080</v>
      </c>
      <c r="K168">
        <v>39000</v>
      </c>
      <c r="L168">
        <v>44850</v>
      </c>
      <c r="M168" t="s">
        <v>1100</v>
      </c>
      <c r="N168" t="s">
        <v>19</v>
      </c>
      <c r="O168" t="s">
        <v>19</v>
      </c>
      <c r="P168" t="s">
        <v>1101</v>
      </c>
      <c r="Q168">
        <v>1</v>
      </c>
      <c r="R168" t="s">
        <v>3876</v>
      </c>
    </row>
    <row r="169" spans="1:18" x14ac:dyDescent="0.2">
      <c r="A169" t="s">
        <v>1109</v>
      </c>
      <c r="B169" t="s">
        <v>473</v>
      </c>
      <c r="C169" t="s">
        <v>1110</v>
      </c>
      <c r="D169" t="s">
        <v>1111</v>
      </c>
      <c r="E169" t="s">
        <v>1112</v>
      </c>
      <c r="F169" t="s">
        <v>1090</v>
      </c>
      <c r="G169" t="s">
        <v>1091</v>
      </c>
      <c r="H169" t="s">
        <v>3872</v>
      </c>
      <c r="I169" t="s">
        <v>474</v>
      </c>
      <c r="J169">
        <v>38309.050000000003</v>
      </c>
      <c r="K169">
        <v>7080</v>
      </c>
      <c r="L169">
        <v>8142</v>
      </c>
      <c r="M169" t="s">
        <v>1107</v>
      </c>
      <c r="N169" t="s">
        <v>19</v>
      </c>
      <c r="O169" t="s">
        <v>19</v>
      </c>
      <c r="P169" t="s">
        <v>1108</v>
      </c>
      <c r="Q169">
        <v>7</v>
      </c>
      <c r="R169" t="s">
        <v>3876</v>
      </c>
    </row>
    <row r="170" spans="1:18" x14ac:dyDescent="0.2">
      <c r="A170" t="s">
        <v>1115</v>
      </c>
      <c r="B170" t="s">
        <v>198</v>
      </c>
      <c r="C170" t="s">
        <v>14</v>
      </c>
      <c r="D170" t="s">
        <v>200</v>
      </c>
      <c r="E170" t="s">
        <v>1116</v>
      </c>
      <c r="F170" t="s">
        <v>610</v>
      </c>
      <c r="G170" t="s">
        <v>1091</v>
      </c>
      <c r="H170" t="s">
        <v>3872</v>
      </c>
      <c r="I170" t="s">
        <v>1117</v>
      </c>
      <c r="J170">
        <v>32334.83</v>
      </c>
      <c r="K170">
        <v>38309.050000000003</v>
      </c>
      <c r="L170">
        <v>44055.42</v>
      </c>
      <c r="M170" t="s">
        <v>1113</v>
      </c>
      <c r="N170" t="s">
        <v>19</v>
      </c>
      <c r="O170" t="s">
        <v>19</v>
      </c>
      <c r="P170" t="s">
        <v>1114</v>
      </c>
      <c r="Q170">
        <v>2</v>
      </c>
      <c r="R170" t="s">
        <v>3876</v>
      </c>
    </row>
    <row r="171" spans="1:18" x14ac:dyDescent="0.2">
      <c r="A171" t="s">
        <v>1120</v>
      </c>
      <c r="B171" t="s">
        <v>1121</v>
      </c>
      <c r="C171" t="s">
        <v>1122</v>
      </c>
      <c r="D171" t="s">
        <v>1123</v>
      </c>
      <c r="E171" t="s">
        <v>1124</v>
      </c>
      <c r="F171" t="s">
        <v>610</v>
      </c>
      <c r="G171" t="s">
        <v>1125</v>
      </c>
      <c r="H171" t="s">
        <v>3872</v>
      </c>
      <c r="I171" t="s">
        <v>1126</v>
      </c>
      <c r="J171">
        <v>1380</v>
      </c>
      <c r="K171">
        <v>32334.83</v>
      </c>
      <c r="L171">
        <v>37185.06</v>
      </c>
      <c r="M171" t="s">
        <v>1118</v>
      </c>
      <c r="N171" t="s">
        <v>19</v>
      </c>
      <c r="O171" t="s">
        <v>19</v>
      </c>
      <c r="P171" t="s">
        <v>1119</v>
      </c>
      <c r="Q171">
        <v>0</v>
      </c>
      <c r="R171" t="s">
        <v>3876</v>
      </c>
    </row>
    <row r="172" spans="1:18" x14ac:dyDescent="0.2">
      <c r="A172" t="s">
        <v>1129</v>
      </c>
      <c r="B172" t="s">
        <v>1130</v>
      </c>
      <c r="C172" t="s">
        <v>1131</v>
      </c>
      <c r="D172" t="s">
        <v>1132</v>
      </c>
      <c r="E172" t="s">
        <v>1133</v>
      </c>
      <c r="F172" t="s">
        <v>531</v>
      </c>
      <c r="G172" t="s">
        <v>1134</v>
      </c>
      <c r="H172" t="s">
        <v>3872</v>
      </c>
      <c r="I172" t="s">
        <v>1135</v>
      </c>
      <c r="J172">
        <v>78393.5</v>
      </c>
      <c r="K172">
        <v>1380</v>
      </c>
      <c r="L172">
        <v>1587</v>
      </c>
      <c r="M172" t="s">
        <v>1127</v>
      </c>
      <c r="N172" t="s">
        <v>19</v>
      </c>
      <c r="O172" t="s">
        <v>19</v>
      </c>
      <c r="P172" t="s">
        <v>1128</v>
      </c>
      <c r="Q172">
        <v>7</v>
      </c>
      <c r="R172" t="s">
        <v>3876</v>
      </c>
    </row>
    <row r="173" spans="1:18" x14ac:dyDescent="0.2">
      <c r="A173" t="s">
        <v>1138</v>
      </c>
      <c r="B173" t="s">
        <v>111</v>
      </c>
      <c r="C173" t="s">
        <v>1063</v>
      </c>
      <c r="D173" t="s">
        <v>1063</v>
      </c>
      <c r="E173" t="s">
        <v>1139</v>
      </c>
      <c r="F173" t="s">
        <v>610</v>
      </c>
      <c r="G173" t="s">
        <v>1125</v>
      </c>
      <c r="H173" t="s">
        <v>3872</v>
      </c>
      <c r="I173" t="s">
        <v>112</v>
      </c>
      <c r="J173">
        <v>12623.46</v>
      </c>
      <c r="K173">
        <v>78393.5</v>
      </c>
      <c r="L173">
        <v>90152.55</v>
      </c>
      <c r="M173" t="s">
        <v>1136</v>
      </c>
      <c r="N173" t="s">
        <v>19</v>
      </c>
      <c r="O173" t="s">
        <v>19</v>
      </c>
      <c r="P173" t="s">
        <v>1137</v>
      </c>
      <c r="Q173">
        <v>0</v>
      </c>
      <c r="R173" t="s">
        <v>3877</v>
      </c>
    </row>
    <row r="174" spans="1:18" x14ac:dyDescent="0.2">
      <c r="A174" t="s">
        <v>1142</v>
      </c>
      <c r="B174" t="s">
        <v>1121</v>
      </c>
      <c r="C174" t="s">
        <v>1122</v>
      </c>
      <c r="D174" t="s">
        <v>1123</v>
      </c>
      <c r="E174" t="s">
        <v>1143</v>
      </c>
      <c r="F174" t="s">
        <v>610</v>
      </c>
      <c r="G174" t="s">
        <v>1125</v>
      </c>
      <c r="H174" t="s">
        <v>3872</v>
      </c>
      <c r="I174" t="s">
        <v>1126</v>
      </c>
      <c r="J174">
        <v>9025.2000000000007</v>
      </c>
      <c r="K174">
        <v>12623.46</v>
      </c>
      <c r="L174">
        <v>14516.98</v>
      </c>
      <c r="M174" t="s">
        <v>1140</v>
      </c>
      <c r="N174" t="s">
        <v>19</v>
      </c>
      <c r="O174" t="s">
        <v>18</v>
      </c>
      <c r="P174" t="s">
        <v>1141</v>
      </c>
      <c r="Q174">
        <v>2</v>
      </c>
      <c r="R174" t="s">
        <v>3880</v>
      </c>
    </row>
    <row r="175" spans="1:18" x14ac:dyDescent="0.2">
      <c r="A175" t="s">
        <v>1146</v>
      </c>
      <c r="B175" t="s">
        <v>111</v>
      </c>
      <c r="C175" t="s">
        <v>113</v>
      </c>
      <c r="D175" t="s">
        <v>114</v>
      </c>
      <c r="E175" t="s">
        <v>1147</v>
      </c>
      <c r="F175" t="s">
        <v>625</v>
      </c>
      <c r="G175" t="s">
        <v>1148</v>
      </c>
      <c r="H175" t="s">
        <v>3872</v>
      </c>
      <c r="I175" t="s">
        <v>112</v>
      </c>
      <c r="J175">
        <v>9670</v>
      </c>
      <c r="K175">
        <v>9025.2000000000007</v>
      </c>
      <c r="L175">
        <v>10378.99</v>
      </c>
      <c r="M175" t="s">
        <v>1144</v>
      </c>
      <c r="N175" t="s">
        <v>19</v>
      </c>
      <c r="O175" t="s">
        <v>19</v>
      </c>
      <c r="P175" t="s">
        <v>1145</v>
      </c>
      <c r="Q175">
        <v>0</v>
      </c>
      <c r="R175" t="s">
        <v>3876</v>
      </c>
    </row>
    <row r="176" spans="1:18" x14ac:dyDescent="0.2">
      <c r="A176" t="s">
        <v>1151</v>
      </c>
      <c r="B176" t="s">
        <v>1029</v>
      </c>
      <c r="C176" t="s">
        <v>121</v>
      </c>
      <c r="D176" t="s">
        <v>1031</v>
      </c>
      <c r="E176" t="s">
        <v>1152</v>
      </c>
      <c r="F176" t="s">
        <v>625</v>
      </c>
      <c r="G176" t="s">
        <v>1148</v>
      </c>
      <c r="H176" s="2" t="s">
        <v>3871</v>
      </c>
      <c r="I176" t="s">
        <v>1030</v>
      </c>
      <c r="J176">
        <v>1516.5</v>
      </c>
      <c r="K176">
        <v>9670</v>
      </c>
      <c r="L176">
        <v>11120.5</v>
      </c>
      <c r="M176" t="s">
        <v>1149</v>
      </c>
      <c r="N176" t="s">
        <v>19</v>
      </c>
      <c r="O176" t="s">
        <v>19</v>
      </c>
      <c r="P176" t="s">
        <v>1150</v>
      </c>
      <c r="Q176">
        <v>0</v>
      </c>
      <c r="R176" t="s">
        <v>3876</v>
      </c>
    </row>
    <row r="177" spans="1:18" x14ac:dyDescent="0.2">
      <c r="A177" t="s">
        <v>1155</v>
      </c>
      <c r="B177" t="s">
        <v>1029</v>
      </c>
      <c r="C177" t="s">
        <v>121</v>
      </c>
      <c r="D177" t="s">
        <v>1031</v>
      </c>
      <c r="E177" t="s">
        <v>1156</v>
      </c>
      <c r="F177" t="s">
        <v>1157</v>
      </c>
      <c r="G177" t="s">
        <v>1158</v>
      </c>
      <c r="H177" t="s">
        <v>3872</v>
      </c>
      <c r="I177" t="s">
        <v>1030</v>
      </c>
      <c r="J177">
        <v>2596.5</v>
      </c>
      <c r="K177">
        <v>1516.5</v>
      </c>
      <c r="L177">
        <v>1743.98</v>
      </c>
      <c r="M177" t="s">
        <v>1153</v>
      </c>
      <c r="N177" t="s">
        <v>19</v>
      </c>
      <c r="O177" t="s">
        <v>19</v>
      </c>
      <c r="P177" t="s">
        <v>1154</v>
      </c>
      <c r="Q177">
        <v>0</v>
      </c>
      <c r="R177" t="s">
        <v>3877</v>
      </c>
    </row>
    <row r="178" spans="1:18" x14ac:dyDescent="0.2">
      <c r="A178" t="s">
        <v>1161</v>
      </c>
      <c r="B178" t="s">
        <v>505</v>
      </c>
      <c r="C178" t="s">
        <v>1162</v>
      </c>
      <c r="D178" t="s">
        <v>168</v>
      </c>
      <c r="E178" t="s">
        <v>1163</v>
      </c>
      <c r="F178" t="s">
        <v>625</v>
      </c>
      <c r="G178" t="s">
        <v>1148</v>
      </c>
      <c r="H178" t="s">
        <v>3872</v>
      </c>
      <c r="I178" t="s">
        <v>506</v>
      </c>
      <c r="J178">
        <v>9025.2000000000007</v>
      </c>
      <c r="K178">
        <v>2596.5</v>
      </c>
      <c r="L178">
        <v>2985.98</v>
      </c>
      <c r="M178" t="s">
        <v>1159</v>
      </c>
      <c r="N178" t="s">
        <v>19</v>
      </c>
      <c r="O178" t="s">
        <v>18</v>
      </c>
      <c r="P178" t="s">
        <v>1160</v>
      </c>
      <c r="Q178">
        <v>2</v>
      </c>
      <c r="R178" t="s">
        <v>3876</v>
      </c>
    </row>
    <row r="179" spans="1:18" x14ac:dyDescent="0.2">
      <c r="A179" t="s">
        <v>1166</v>
      </c>
      <c r="B179" t="s">
        <v>505</v>
      </c>
      <c r="C179" t="s">
        <v>113</v>
      </c>
      <c r="D179" t="s">
        <v>1167</v>
      </c>
      <c r="E179" t="s">
        <v>1168</v>
      </c>
      <c r="F179" t="s">
        <v>625</v>
      </c>
      <c r="G179" t="s">
        <v>1148</v>
      </c>
      <c r="H179" t="s">
        <v>3872</v>
      </c>
      <c r="I179" t="s">
        <v>506</v>
      </c>
      <c r="J179">
        <v>15559.5</v>
      </c>
      <c r="K179">
        <v>9025.2000000000007</v>
      </c>
      <c r="L179">
        <v>10378.99</v>
      </c>
      <c r="M179" t="s">
        <v>1164</v>
      </c>
      <c r="N179" t="s">
        <v>19</v>
      </c>
      <c r="O179" t="s">
        <v>19</v>
      </c>
      <c r="P179" t="s">
        <v>1165</v>
      </c>
      <c r="Q179">
        <v>5</v>
      </c>
      <c r="R179" t="s">
        <v>3876</v>
      </c>
    </row>
    <row r="180" spans="1:18" x14ac:dyDescent="0.2">
      <c r="A180" t="s">
        <v>1171</v>
      </c>
      <c r="B180" t="s">
        <v>49</v>
      </c>
      <c r="C180" t="s">
        <v>51</v>
      </c>
      <c r="D180" t="s">
        <v>51</v>
      </c>
      <c r="E180" t="s">
        <v>1172</v>
      </c>
      <c r="F180" t="s">
        <v>531</v>
      </c>
      <c r="G180" t="s">
        <v>1134</v>
      </c>
      <c r="H180" t="s">
        <v>3872</v>
      </c>
      <c r="I180" t="s">
        <v>1173</v>
      </c>
      <c r="J180">
        <v>2035.29</v>
      </c>
      <c r="K180">
        <v>15559.5</v>
      </c>
      <c r="L180">
        <v>17893.45</v>
      </c>
      <c r="M180" t="s">
        <v>1169</v>
      </c>
      <c r="N180" t="s">
        <v>19</v>
      </c>
      <c r="O180" t="s">
        <v>19</v>
      </c>
      <c r="P180" t="s">
        <v>1170</v>
      </c>
      <c r="Q180">
        <v>1</v>
      </c>
      <c r="R180" t="s">
        <v>3877</v>
      </c>
    </row>
    <row r="181" spans="1:18" x14ac:dyDescent="0.2">
      <c r="A181" t="s">
        <v>1176</v>
      </c>
      <c r="B181" t="s">
        <v>787</v>
      </c>
      <c r="C181" t="s">
        <v>788</v>
      </c>
      <c r="D181" t="s">
        <v>789</v>
      </c>
      <c r="E181" t="s">
        <v>1177</v>
      </c>
      <c r="F181" t="s">
        <v>1157</v>
      </c>
      <c r="G181" t="s">
        <v>1158</v>
      </c>
      <c r="H181" s="2" t="s">
        <v>3871</v>
      </c>
      <c r="I181" t="s">
        <v>1178</v>
      </c>
      <c r="J181">
        <v>15600</v>
      </c>
      <c r="K181">
        <v>2035.29</v>
      </c>
      <c r="L181">
        <v>2340.58</v>
      </c>
      <c r="M181" t="s">
        <v>1174</v>
      </c>
      <c r="N181" t="s">
        <v>19</v>
      </c>
      <c r="O181" t="s">
        <v>18</v>
      </c>
      <c r="P181" t="s">
        <v>1175</v>
      </c>
      <c r="Q181">
        <v>2</v>
      </c>
      <c r="R181" t="s">
        <v>3878</v>
      </c>
    </row>
    <row r="182" spans="1:18" x14ac:dyDescent="0.2">
      <c r="A182" t="s">
        <v>1181</v>
      </c>
      <c r="B182" t="s">
        <v>245</v>
      </c>
      <c r="C182" t="s">
        <v>553</v>
      </c>
      <c r="D182" t="s">
        <v>553</v>
      </c>
      <c r="E182" t="s">
        <v>1182</v>
      </c>
      <c r="F182" t="s">
        <v>1157</v>
      </c>
      <c r="G182" t="s">
        <v>1158</v>
      </c>
      <c r="H182" t="s">
        <v>3872</v>
      </c>
      <c r="I182" t="s">
        <v>246</v>
      </c>
      <c r="J182">
        <v>4362.54</v>
      </c>
      <c r="K182">
        <v>15600</v>
      </c>
      <c r="L182">
        <v>17940</v>
      </c>
      <c r="M182" t="s">
        <v>1179</v>
      </c>
      <c r="N182" t="s">
        <v>19</v>
      </c>
      <c r="O182" t="s">
        <v>19</v>
      </c>
      <c r="P182" t="s">
        <v>1180</v>
      </c>
      <c r="Q182">
        <v>1</v>
      </c>
      <c r="R182" t="s">
        <v>3877</v>
      </c>
    </row>
    <row r="183" spans="1:18" x14ac:dyDescent="0.2">
      <c r="A183" t="s">
        <v>1185</v>
      </c>
      <c r="B183" t="s">
        <v>505</v>
      </c>
      <c r="C183" t="s">
        <v>507</v>
      </c>
      <c r="D183" t="s">
        <v>168</v>
      </c>
      <c r="E183" t="s">
        <v>1186</v>
      </c>
      <c r="F183" t="s">
        <v>1157</v>
      </c>
      <c r="G183" t="s">
        <v>1158</v>
      </c>
      <c r="H183" t="s">
        <v>3872</v>
      </c>
      <c r="I183" t="s">
        <v>506</v>
      </c>
      <c r="J183">
        <v>6564.3</v>
      </c>
      <c r="K183">
        <v>4362.54</v>
      </c>
      <c r="L183">
        <v>5016.92</v>
      </c>
      <c r="M183" t="s">
        <v>1183</v>
      </c>
      <c r="N183" t="s">
        <v>19</v>
      </c>
      <c r="O183" t="s">
        <v>18</v>
      </c>
      <c r="P183" t="s">
        <v>1184</v>
      </c>
      <c r="Q183">
        <v>3</v>
      </c>
      <c r="R183" t="s">
        <v>3876</v>
      </c>
    </row>
    <row r="184" spans="1:18" x14ac:dyDescent="0.2">
      <c r="A184" t="s">
        <v>1189</v>
      </c>
      <c r="B184" t="s">
        <v>505</v>
      </c>
      <c r="C184" t="s">
        <v>1190</v>
      </c>
      <c r="D184" t="s">
        <v>1190</v>
      </c>
      <c r="E184" t="s">
        <v>1191</v>
      </c>
      <c r="F184" t="s">
        <v>1157</v>
      </c>
      <c r="G184" t="s">
        <v>1158</v>
      </c>
      <c r="H184" t="s">
        <v>3872</v>
      </c>
      <c r="I184" t="s">
        <v>506</v>
      </c>
      <c r="J184">
        <v>6867.1</v>
      </c>
      <c r="K184">
        <v>6564.3</v>
      </c>
      <c r="L184">
        <v>7548.96</v>
      </c>
      <c r="M184" t="s">
        <v>1187</v>
      </c>
      <c r="N184" t="s">
        <v>19</v>
      </c>
      <c r="O184" t="s">
        <v>19</v>
      </c>
      <c r="P184" t="s">
        <v>1188</v>
      </c>
      <c r="Q184">
        <v>1</v>
      </c>
      <c r="R184" t="s">
        <v>3876</v>
      </c>
    </row>
    <row r="185" spans="1:18" x14ac:dyDescent="0.2">
      <c r="A185" t="s">
        <v>1194</v>
      </c>
      <c r="B185" t="s">
        <v>505</v>
      </c>
      <c r="C185" t="s">
        <v>1195</v>
      </c>
      <c r="D185" t="s">
        <v>276</v>
      </c>
      <c r="E185" t="s">
        <v>1196</v>
      </c>
      <c r="F185" t="s">
        <v>1157</v>
      </c>
      <c r="G185" t="s">
        <v>1158</v>
      </c>
      <c r="H185" t="s">
        <v>3872</v>
      </c>
      <c r="I185" t="s">
        <v>506</v>
      </c>
      <c r="J185">
        <v>4619</v>
      </c>
      <c r="K185">
        <v>6867.1</v>
      </c>
      <c r="L185">
        <v>7897.17</v>
      </c>
      <c r="M185" t="s">
        <v>1192</v>
      </c>
      <c r="N185" t="s">
        <v>19</v>
      </c>
      <c r="O185" t="s">
        <v>19</v>
      </c>
      <c r="P185" t="s">
        <v>1193</v>
      </c>
      <c r="Q185">
        <v>0</v>
      </c>
      <c r="R185" t="s">
        <v>3876</v>
      </c>
    </row>
    <row r="186" spans="1:18" x14ac:dyDescent="0.2">
      <c r="A186" t="s">
        <v>1199</v>
      </c>
      <c r="B186" t="s">
        <v>178</v>
      </c>
      <c r="C186" t="s">
        <v>180</v>
      </c>
      <c r="D186" t="s">
        <v>180</v>
      </c>
      <c r="E186" t="s">
        <v>1200</v>
      </c>
      <c r="F186" t="s">
        <v>1157</v>
      </c>
      <c r="G186" t="s">
        <v>1158</v>
      </c>
      <c r="H186" t="s">
        <v>3872</v>
      </c>
      <c r="I186" t="s">
        <v>1201</v>
      </c>
      <c r="J186">
        <v>26948.84</v>
      </c>
      <c r="K186">
        <v>4619</v>
      </c>
      <c r="L186">
        <v>5311.85</v>
      </c>
      <c r="M186" t="s">
        <v>1197</v>
      </c>
      <c r="N186" t="s">
        <v>19</v>
      </c>
      <c r="O186" t="s">
        <v>19</v>
      </c>
      <c r="P186" t="s">
        <v>1198</v>
      </c>
      <c r="Q186">
        <v>2</v>
      </c>
      <c r="R186" t="s">
        <v>3876</v>
      </c>
    </row>
    <row r="187" spans="1:18" x14ac:dyDescent="0.2">
      <c r="A187" t="s">
        <v>1204</v>
      </c>
      <c r="B187" t="s">
        <v>1205</v>
      </c>
      <c r="C187" t="s">
        <v>1207</v>
      </c>
      <c r="D187" t="s">
        <v>168</v>
      </c>
      <c r="E187" t="s">
        <v>1208</v>
      </c>
      <c r="F187" t="s">
        <v>1157</v>
      </c>
      <c r="G187" t="s">
        <v>1158</v>
      </c>
      <c r="H187" t="s">
        <v>3872</v>
      </c>
      <c r="I187" t="s">
        <v>1206</v>
      </c>
      <c r="J187">
        <v>2290</v>
      </c>
      <c r="K187">
        <v>26948.84</v>
      </c>
      <c r="L187">
        <v>30991.17</v>
      </c>
      <c r="M187" t="s">
        <v>1202</v>
      </c>
      <c r="N187" t="s">
        <v>19</v>
      </c>
      <c r="O187" t="s">
        <v>19</v>
      </c>
      <c r="P187" t="s">
        <v>1203</v>
      </c>
      <c r="Q187">
        <v>0</v>
      </c>
      <c r="R187" t="s">
        <v>3877</v>
      </c>
    </row>
    <row r="188" spans="1:18" x14ac:dyDescent="0.2">
      <c r="A188" t="s">
        <v>1211</v>
      </c>
      <c r="B188" t="s">
        <v>158</v>
      </c>
      <c r="C188" t="s">
        <v>113</v>
      </c>
      <c r="D188" t="s">
        <v>160</v>
      </c>
      <c r="E188" t="s">
        <v>1212</v>
      </c>
      <c r="F188" t="s">
        <v>686</v>
      </c>
      <c r="G188" t="s">
        <v>1213</v>
      </c>
      <c r="H188" t="s">
        <v>3872</v>
      </c>
      <c r="I188" t="s">
        <v>1214</v>
      </c>
      <c r="J188">
        <v>13655.93</v>
      </c>
      <c r="K188">
        <v>2290</v>
      </c>
      <c r="L188">
        <v>2633.5</v>
      </c>
      <c r="M188" t="s">
        <v>1209</v>
      </c>
      <c r="N188" t="s">
        <v>19</v>
      </c>
      <c r="O188" t="s">
        <v>18</v>
      </c>
      <c r="P188" t="s">
        <v>1210</v>
      </c>
      <c r="Q188">
        <v>1</v>
      </c>
      <c r="R188" t="s">
        <v>3877</v>
      </c>
    </row>
    <row r="189" spans="1:18" x14ac:dyDescent="0.2">
      <c r="A189" t="s">
        <v>1217</v>
      </c>
      <c r="B189" t="s">
        <v>148</v>
      </c>
      <c r="C189" t="s">
        <v>253</v>
      </c>
      <c r="D189" t="s">
        <v>253</v>
      </c>
      <c r="E189" t="s">
        <v>1218</v>
      </c>
      <c r="F189" t="s">
        <v>1219</v>
      </c>
      <c r="G189" t="s">
        <v>1220</v>
      </c>
      <c r="H189" t="s">
        <v>3872</v>
      </c>
      <c r="I189" t="s">
        <v>149</v>
      </c>
      <c r="J189">
        <v>95091.17</v>
      </c>
      <c r="K189">
        <v>13655.93</v>
      </c>
      <c r="L189">
        <v>15704.33</v>
      </c>
      <c r="M189" t="s">
        <v>1215</v>
      </c>
      <c r="N189" t="s">
        <v>19</v>
      </c>
      <c r="O189" t="s">
        <v>18</v>
      </c>
      <c r="P189" t="s">
        <v>1216</v>
      </c>
      <c r="Q189">
        <v>7</v>
      </c>
      <c r="R189" t="s">
        <v>3876</v>
      </c>
    </row>
    <row r="190" spans="1:18" x14ac:dyDescent="0.2">
      <c r="A190" t="s">
        <v>1223</v>
      </c>
      <c r="B190" t="s">
        <v>1224</v>
      </c>
      <c r="C190" t="s">
        <v>121</v>
      </c>
      <c r="D190" t="s">
        <v>1225</v>
      </c>
      <c r="E190" t="s">
        <v>1226</v>
      </c>
      <c r="F190" t="s">
        <v>1227</v>
      </c>
      <c r="G190" t="s">
        <v>1228</v>
      </c>
      <c r="H190" t="s">
        <v>3872</v>
      </c>
      <c r="I190" t="s">
        <v>1229</v>
      </c>
      <c r="J190">
        <v>4995</v>
      </c>
      <c r="K190">
        <v>95091.17</v>
      </c>
      <c r="L190">
        <v>109354.86</v>
      </c>
      <c r="M190" t="s">
        <v>1221</v>
      </c>
      <c r="N190" t="s">
        <v>19</v>
      </c>
      <c r="O190" t="s">
        <v>19</v>
      </c>
      <c r="P190" t="s">
        <v>1222</v>
      </c>
      <c r="Q190">
        <v>0</v>
      </c>
      <c r="R190" t="s">
        <v>3876</v>
      </c>
    </row>
    <row r="191" spans="1:18" x14ac:dyDescent="0.2">
      <c r="A191" t="s">
        <v>1232</v>
      </c>
      <c r="B191" t="s">
        <v>1224</v>
      </c>
      <c r="C191" t="s">
        <v>121</v>
      </c>
      <c r="D191" t="s">
        <v>1225</v>
      </c>
      <c r="E191" t="s">
        <v>1233</v>
      </c>
      <c r="F191" t="s">
        <v>1227</v>
      </c>
      <c r="G191" t="s">
        <v>1228</v>
      </c>
      <c r="H191" t="s">
        <v>3872</v>
      </c>
      <c r="I191" t="s">
        <v>1229</v>
      </c>
      <c r="J191">
        <v>43589.16</v>
      </c>
      <c r="K191">
        <v>4995</v>
      </c>
      <c r="L191">
        <v>5744.25</v>
      </c>
      <c r="M191" t="s">
        <v>1230</v>
      </c>
      <c r="N191" t="s">
        <v>19</v>
      </c>
      <c r="O191" t="s">
        <v>19</v>
      </c>
      <c r="P191" t="s">
        <v>1231</v>
      </c>
      <c r="Q191">
        <v>0</v>
      </c>
      <c r="R191" t="s">
        <v>3876</v>
      </c>
    </row>
    <row r="192" spans="1:18" x14ac:dyDescent="0.2">
      <c r="A192" t="s">
        <v>1236</v>
      </c>
      <c r="B192" t="s">
        <v>1237</v>
      </c>
      <c r="C192" t="s">
        <v>1238</v>
      </c>
      <c r="D192" t="s">
        <v>1238</v>
      </c>
      <c r="E192" t="s">
        <v>1239</v>
      </c>
      <c r="F192" t="s">
        <v>1227</v>
      </c>
      <c r="G192" t="s">
        <v>1228</v>
      </c>
      <c r="H192" t="s">
        <v>3872</v>
      </c>
      <c r="I192" t="s">
        <v>1240</v>
      </c>
      <c r="J192">
        <v>2035.29</v>
      </c>
      <c r="K192">
        <v>43589.16</v>
      </c>
      <c r="L192">
        <v>50127.53</v>
      </c>
      <c r="M192" t="s">
        <v>1234</v>
      </c>
      <c r="N192" t="s">
        <v>19</v>
      </c>
      <c r="O192" t="s">
        <v>19</v>
      </c>
      <c r="P192" t="s">
        <v>1235</v>
      </c>
      <c r="Q192">
        <v>1</v>
      </c>
      <c r="R192" t="s">
        <v>3877</v>
      </c>
    </row>
    <row r="193" spans="1:18" x14ac:dyDescent="0.2">
      <c r="A193" t="s">
        <v>1243</v>
      </c>
      <c r="B193" t="s">
        <v>266</v>
      </c>
      <c r="C193" t="s">
        <v>1244</v>
      </c>
      <c r="D193" t="s">
        <v>1244</v>
      </c>
      <c r="E193" t="s">
        <v>1245</v>
      </c>
      <c r="F193" t="s">
        <v>1227</v>
      </c>
      <c r="G193" t="s">
        <v>1228</v>
      </c>
      <c r="H193" t="s">
        <v>3872</v>
      </c>
      <c r="I193" t="s">
        <v>267</v>
      </c>
      <c r="J193">
        <v>41895.910000000003</v>
      </c>
      <c r="K193">
        <v>2035.29</v>
      </c>
      <c r="L193">
        <v>2340.58</v>
      </c>
      <c r="M193" t="s">
        <v>1241</v>
      </c>
      <c r="N193" t="s">
        <v>19</v>
      </c>
      <c r="O193" t="s">
        <v>19</v>
      </c>
      <c r="P193" t="s">
        <v>1242</v>
      </c>
      <c r="Q193">
        <v>15</v>
      </c>
      <c r="R193" t="s">
        <v>3876</v>
      </c>
    </row>
    <row r="194" spans="1:18" x14ac:dyDescent="0.2">
      <c r="A194" t="s">
        <v>1248</v>
      </c>
      <c r="B194" t="s">
        <v>158</v>
      </c>
      <c r="C194" t="s">
        <v>113</v>
      </c>
      <c r="D194" t="s">
        <v>160</v>
      </c>
      <c r="E194" t="s">
        <v>1249</v>
      </c>
      <c r="F194" t="s">
        <v>686</v>
      </c>
      <c r="G194" t="s">
        <v>1213</v>
      </c>
      <c r="H194" t="s">
        <v>3872</v>
      </c>
      <c r="I194" t="s">
        <v>1250</v>
      </c>
      <c r="J194">
        <v>16019.93</v>
      </c>
      <c r="K194">
        <v>41895.910000000003</v>
      </c>
      <c r="L194">
        <v>48180.26</v>
      </c>
      <c r="M194" t="s">
        <v>1246</v>
      </c>
      <c r="N194" t="s">
        <v>19</v>
      </c>
      <c r="O194" t="s">
        <v>19</v>
      </c>
      <c r="P194" t="s">
        <v>1247</v>
      </c>
      <c r="Q194">
        <v>1</v>
      </c>
      <c r="R194" t="s">
        <v>3877</v>
      </c>
    </row>
    <row r="195" spans="1:18" x14ac:dyDescent="0.2">
      <c r="A195" t="s">
        <v>1253</v>
      </c>
      <c r="B195" t="s">
        <v>335</v>
      </c>
      <c r="C195" t="s">
        <v>14</v>
      </c>
      <c r="D195" t="s">
        <v>336</v>
      </c>
      <c r="E195" t="s">
        <v>910</v>
      </c>
      <c r="F195" t="s">
        <v>531</v>
      </c>
      <c r="G195" t="s">
        <v>1134</v>
      </c>
      <c r="H195" s="2" t="s">
        <v>3871</v>
      </c>
      <c r="I195" t="s">
        <v>913</v>
      </c>
      <c r="J195">
        <v>55721.5</v>
      </c>
      <c r="K195">
        <v>16019.93</v>
      </c>
      <c r="L195">
        <v>18422.93</v>
      </c>
      <c r="M195" t="s">
        <v>1251</v>
      </c>
      <c r="N195" t="s">
        <v>19</v>
      </c>
      <c r="O195" t="s">
        <v>18</v>
      </c>
      <c r="P195" t="s">
        <v>1252</v>
      </c>
      <c r="Q195">
        <v>16</v>
      </c>
      <c r="R195" t="s">
        <v>3876</v>
      </c>
    </row>
    <row r="196" spans="1:18" x14ac:dyDescent="0.2">
      <c r="A196" t="s">
        <v>1256</v>
      </c>
      <c r="B196" t="s">
        <v>1257</v>
      </c>
      <c r="C196" t="s">
        <v>1258</v>
      </c>
      <c r="D196" t="s">
        <v>1259</v>
      </c>
      <c r="E196" t="s">
        <v>1260</v>
      </c>
      <c r="F196" t="s">
        <v>531</v>
      </c>
      <c r="G196" t="s">
        <v>1134</v>
      </c>
      <c r="H196" t="s">
        <v>3872</v>
      </c>
      <c r="I196" t="s">
        <v>1261</v>
      </c>
      <c r="J196">
        <v>3980.58</v>
      </c>
      <c r="K196">
        <v>55721.5</v>
      </c>
      <c r="L196">
        <v>64079.73</v>
      </c>
      <c r="M196" t="s">
        <v>1254</v>
      </c>
      <c r="N196" t="s">
        <v>19</v>
      </c>
      <c r="O196" t="s">
        <v>19</v>
      </c>
      <c r="P196" t="s">
        <v>1255</v>
      </c>
      <c r="Q196">
        <v>2</v>
      </c>
      <c r="R196" t="s">
        <v>3877</v>
      </c>
    </row>
    <row r="197" spans="1:18" x14ac:dyDescent="0.2">
      <c r="A197" t="s">
        <v>1264</v>
      </c>
      <c r="B197" t="s">
        <v>813</v>
      </c>
      <c r="C197" t="s">
        <v>815</v>
      </c>
      <c r="D197" t="s">
        <v>815</v>
      </c>
      <c r="E197" t="s">
        <v>1265</v>
      </c>
      <c r="F197" t="s">
        <v>531</v>
      </c>
      <c r="G197" t="s">
        <v>1134</v>
      </c>
      <c r="H197" t="s">
        <v>3872</v>
      </c>
      <c r="I197" t="s">
        <v>1266</v>
      </c>
      <c r="J197">
        <v>1464.55</v>
      </c>
      <c r="K197">
        <v>3980.58</v>
      </c>
      <c r="L197">
        <v>4577.67</v>
      </c>
      <c r="M197" t="s">
        <v>1262</v>
      </c>
      <c r="N197" t="s">
        <v>19</v>
      </c>
      <c r="O197" t="s">
        <v>18</v>
      </c>
      <c r="P197" t="s">
        <v>1263</v>
      </c>
      <c r="Q197">
        <v>0</v>
      </c>
      <c r="R197" t="s">
        <v>3877</v>
      </c>
    </row>
    <row r="198" spans="1:18" x14ac:dyDescent="0.2">
      <c r="A198" t="s">
        <v>1269</v>
      </c>
      <c r="B198" t="s">
        <v>1270</v>
      </c>
      <c r="C198" t="s">
        <v>1271</v>
      </c>
      <c r="D198" t="s">
        <v>1271</v>
      </c>
      <c r="E198" t="s">
        <v>1272</v>
      </c>
      <c r="F198" t="s">
        <v>686</v>
      </c>
      <c r="G198" t="s">
        <v>1213</v>
      </c>
      <c r="H198" t="s">
        <v>3872</v>
      </c>
      <c r="I198" t="s">
        <v>1273</v>
      </c>
      <c r="J198">
        <v>17525</v>
      </c>
      <c r="K198">
        <v>1464.55</v>
      </c>
      <c r="L198">
        <v>1684.23</v>
      </c>
      <c r="M198" t="s">
        <v>1267</v>
      </c>
      <c r="N198" t="s">
        <v>19</v>
      </c>
      <c r="O198" t="s">
        <v>18</v>
      </c>
      <c r="P198" t="s">
        <v>1268</v>
      </c>
      <c r="Q198">
        <v>1</v>
      </c>
      <c r="R198" t="s">
        <v>3877</v>
      </c>
    </row>
    <row r="199" spans="1:18" x14ac:dyDescent="0.2">
      <c r="A199" t="s">
        <v>1276</v>
      </c>
      <c r="B199" t="s">
        <v>311</v>
      </c>
      <c r="C199" t="s">
        <v>313</v>
      </c>
      <c r="D199" t="s">
        <v>313</v>
      </c>
      <c r="E199" t="s">
        <v>1277</v>
      </c>
      <c r="F199" t="s">
        <v>698</v>
      </c>
      <c r="G199" t="s">
        <v>1278</v>
      </c>
      <c r="H199" t="s">
        <v>3872</v>
      </c>
      <c r="I199" t="s">
        <v>1279</v>
      </c>
      <c r="J199">
        <v>6654.29</v>
      </c>
      <c r="K199">
        <v>17525</v>
      </c>
      <c r="L199">
        <v>20153.75</v>
      </c>
      <c r="M199" t="s">
        <v>1274</v>
      </c>
      <c r="N199" t="s">
        <v>19</v>
      </c>
      <c r="O199" t="s">
        <v>18</v>
      </c>
      <c r="P199" t="s">
        <v>1275</v>
      </c>
      <c r="Q199">
        <v>1</v>
      </c>
      <c r="R199" t="s">
        <v>3877</v>
      </c>
    </row>
    <row r="200" spans="1:18" x14ac:dyDescent="0.2">
      <c r="A200" t="s">
        <v>1282</v>
      </c>
      <c r="B200" t="s">
        <v>1283</v>
      </c>
      <c r="C200" t="s">
        <v>1284</v>
      </c>
      <c r="D200" t="s">
        <v>1285</v>
      </c>
      <c r="E200" t="s">
        <v>1286</v>
      </c>
      <c r="F200" t="s">
        <v>1219</v>
      </c>
      <c r="G200" t="s">
        <v>1220</v>
      </c>
      <c r="H200" t="s">
        <v>3872</v>
      </c>
      <c r="I200" t="s">
        <v>1287</v>
      </c>
      <c r="J200">
        <v>43695.25</v>
      </c>
      <c r="K200">
        <v>6654.29</v>
      </c>
      <c r="L200">
        <v>7652.43</v>
      </c>
      <c r="M200" t="s">
        <v>1280</v>
      </c>
      <c r="N200" t="s">
        <v>19</v>
      </c>
      <c r="O200" t="s">
        <v>18</v>
      </c>
      <c r="P200" t="s">
        <v>1281</v>
      </c>
      <c r="Q200">
        <v>5</v>
      </c>
      <c r="R200" t="s">
        <v>3877</v>
      </c>
    </row>
    <row r="201" spans="1:18" x14ac:dyDescent="0.2">
      <c r="A201" t="s">
        <v>1290</v>
      </c>
      <c r="B201" t="s">
        <v>1291</v>
      </c>
      <c r="C201" t="s">
        <v>121</v>
      </c>
      <c r="D201" t="s">
        <v>1292</v>
      </c>
      <c r="E201" t="s">
        <v>1293</v>
      </c>
      <c r="F201" t="s">
        <v>1294</v>
      </c>
      <c r="G201" t="s">
        <v>1295</v>
      </c>
      <c r="H201" s="2" t="s">
        <v>3871</v>
      </c>
      <c r="I201" t="s">
        <v>1296</v>
      </c>
      <c r="J201">
        <v>23100</v>
      </c>
      <c r="K201">
        <v>43695.25</v>
      </c>
      <c r="L201">
        <v>50249.54</v>
      </c>
      <c r="M201" t="s">
        <v>1288</v>
      </c>
      <c r="N201" t="s">
        <v>19</v>
      </c>
      <c r="O201" t="s">
        <v>18</v>
      </c>
      <c r="P201" t="s">
        <v>1289</v>
      </c>
      <c r="Q201">
        <v>1</v>
      </c>
      <c r="R201" t="s">
        <v>3877</v>
      </c>
    </row>
    <row r="202" spans="1:18" x14ac:dyDescent="0.2">
      <c r="A202" t="s">
        <v>1299</v>
      </c>
      <c r="B202" t="s">
        <v>1300</v>
      </c>
      <c r="C202" t="s">
        <v>113</v>
      </c>
      <c r="D202" t="s">
        <v>1301</v>
      </c>
      <c r="E202" t="s">
        <v>1302</v>
      </c>
      <c r="F202" t="s">
        <v>1294</v>
      </c>
      <c r="G202" t="s">
        <v>1295</v>
      </c>
      <c r="H202" t="s">
        <v>3872</v>
      </c>
      <c r="I202" t="s">
        <v>1303</v>
      </c>
      <c r="J202">
        <v>3984.65</v>
      </c>
      <c r="K202">
        <v>23100</v>
      </c>
      <c r="L202">
        <v>26565</v>
      </c>
      <c r="M202" t="s">
        <v>1297</v>
      </c>
      <c r="N202" t="s">
        <v>19</v>
      </c>
      <c r="O202" t="s">
        <v>18</v>
      </c>
      <c r="P202" t="s">
        <v>1298</v>
      </c>
      <c r="Q202">
        <v>1</v>
      </c>
      <c r="R202" t="s">
        <v>3876</v>
      </c>
    </row>
    <row r="203" spans="1:18" x14ac:dyDescent="0.2">
      <c r="A203" t="s">
        <v>1306</v>
      </c>
      <c r="B203" t="s">
        <v>1307</v>
      </c>
      <c r="C203" t="s">
        <v>113</v>
      </c>
      <c r="D203" t="s">
        <v>1308</v>
      </c>
      <c r="E203" t="s">
        <v>1309</v>
      </c>
      <c r="F203" t="s">
        <v>1294</v>
      </c>
      <c r="G203" t="s">
        <v>1295</v>
      </c>
      <c r="H203" s="2" t="s">
        <v>3871</v>
      </c>
      <c r="I203" t="s">
        <v>1310</v>
      </c>
      <c r="J203">
        <v>35435</v>
      </c>
      <c r="K203">
        <v>3984.65</v>
      </c>
      <c r="L203">
        <v>4582.3500000000004</v>
      </c>
      <c r="M203" t="s">
        <v>1304</v>
      </c>
      <c r="N203" t="s">
        <v>19</v>
      </c>
      <c r="O203" t="s">
        <v>18</v>
      </c>
      <c r="P203" t="s">
        <v>1305</v>
      </c>
      <c r="Q203">
        <v>2</v>
      </c>
      <c r="R203" t="s">
        <v>3877</v>
      </c>
    </row>
    <row r="204" spans="1:18" x14ac:dyDescent="0.2">
      <c r="A204" t="s">
        <v>1313</v>
      </c>
      <c r="B204" t="s">
        <v>1314</v>
      </c>
      <c r="C204" t="s">
        <v>1315</v>
      </c>
      <c r="D204" t="s">
        <v>1316</v>
      </c>
      <c r="E204" t="s">
        <v>1317</v>
      </c>
      <c r="F204" t="s">
        <v>666</v>
      </c>
      <c r="G204" t="s">
        <v>1318</v>
      </c>
      <c r="H204" t="s">
        <v>3872</v>
      </c>
      <c r="I204" t="s">
        <v>1319</v>
      </c>
      <c r="J204">
        <v>2248.1</v>
      </c>
      <c r="K204">
        <v>35435</v>
      </c>
      <c r="L204">
        <v>40750.25</v>
      </c>
      <c r="M204" t="s">
        <v>1311</v>
      </c>
      <c r="N204" t="s">
        <v>19</v>
      </c>
      <c r="O204" t="s">
        <v>18</v>
      </c>
      <c r="P204" t="s">
        <v>1312</v>
      </c>
      <c r="Q204">
        <v>1</v>
      </c>
      <c r="R204" t="s">
        <v>3877</v>
      </c>
    </row>
    <row r="205" spans="1:18" x14ac:dyDescent="0.2">
      <c r="A205" t="s">
        <v>1322</v>
      </c>
      <c r="B205" t="s">
        <v>1323</v>
      </c>
      <c r="C205" t="s">
        <v>1258</v>
      </c>
      <c r="D205" t="s">
        <v>1324</v>
      </c>
      <c r="E205" t="s">
        <v>1325</v>
      </c>
      <c r="F205" t="s">
        <v>666</v>
      </c>
      <c r="G205" t="s">
        <v>1318</v>
      </c>
      <c r="H205" s="2" t="s">
        <v>3871</v>
      </c>
      <c r="I205" t="s">
        <v>1326</v>
      </c>
      <c r="J205">
        <v>34537.5</v>
      </c>
      <c r="K205">
        <v>2248.1</v>
      </c>
      <c r="L205">
        <v>2585.3200000000002</v>
      </c>
      <c r="M205" t="s">
        <v>1320</v>
      </c>
      <c r="N205" t="s">
        <v>19</v>
      </c>
      <c r="O205" t="s">
        <v>18</v>
      </c>
      <c r="P205" t="s">
        <v>1321</v>
      </c>
      <c r="Q205">
        <v>2</v>
      </c>
      <c r="R205" t="s">
        <v>3877</v>
      </c>
    </row>
    <row r="206" spans="1:18" x14ac:dyDescent="0.2">
      <c r="A206" t="s">
        <v>1329</v>
      </c>
      <c r="B206" t="s">
        <v>970</v>
      </c>
      <c r="C206" t="s">
        <v>972</v>
      </c>
      <c r="D206" t="s">
        <v>972</v>
      </c>
      <c r="E206" t="s">
        <v>1330</v>
      </c>
      <c r="F206" t="s">
        <v>666</v>
      </c>
      <c r="G206" t="s">
        <v>1318</v>
      </c>
      <c r="H206" t="s">
        <v>3872</v>
      </c>
      <c r="I206" t="s">
        <v>971</v>
      </c>
      <c r="J206">
        <v>58286.96</v>
      </c>
      <c r="K206">
        <v>34537.5</v>
      </c>
      <c r="L206">
        <v>39718.129999999997</v>
      </c>
      <c r="M206" t="s">
        <v>1327</v>
      </c>
      <c r="N206" t="s">
        <v>19</v>
      </c>
      <c r="O206" t="s">
        <v>18</v>
      </c>
      <c r="P206" t="s">
        <v>1328</v>
      </c>
      <c r="Q206">
        <v>28</v>
      </c>
      <c r="R206" t="s">
        <v>3876</v>
      </c>
    </row>
    <row r="207" spans="1:18" x14ac:dyDescent="0.2">
      <c r="A207" t="s">
        <v>1334</v>
      </c>
      <c r="B207" t="s">
        <v>330</v>
      </c>
      <c r="C207" t="s">
        <v>14</v>
      </c>
      <c r="D207" t="s">
        <v>14</v>
      </c>
      <c r="E207" t="s">
        <v>1335</v>
      </c>
      <c r="F207" t="s">
        <v>666</v>
      </c>
      <c r="G207" t="s">
        <v>1318</v>
      </c>
      <c r="H207" t="s">
        <v>3872</v>
      </c>
      <c r="I207" t="s">
        <v>331</v>
      </c>
      <c r="J207">
        <v>68651.47</v>
      </c>
      <c r="K207">
        <v>58286.96</v>
      </c>
      <c r="L207">
        <v>67030</v>
      </c>
      <c r="M207" t="s">
        <v>1331</v>
      </c>
      <c r="N207" t="s">
        <v>19</v>
      </c>
      <c r="O207" t="s">
        <v>1332</v>
      </c>
      <c r="P207" t="s">
        <v>1333</v>
      </c>
      <c r="Q207">
        <v>31</v>
      </c>
      <c r="R207" t="s">
        <v>3880</v>
      </c>
    </row>
    <row r="208" spans="1:18" x14ac:dyDescent="0.2">
      <c r="A208" t="s">
        <v>1338</v>
      </c>
      <c r="B208" t="s">
        <v>1339</v>
      </c>
      <c r="C208" t="s">
        <v>121</v>
      </c>
      <c r="D208" t="s">
        <v>1339</v>
      </c>
      <c r="E208" t="s">
        <v>1340</v>
      </c>
      <c r="F208" t="s">
        <v>797</v>
      </c>
      <c r="G208" t="s">
        <v>1341</v>
      </c>
      <c r="H208" t="s">
        <v>3872</v>
      </c>
      <c r="I208" t="s">
        <v>1342</v>
      </c>
      <c r="J208">
        <v>74672.210000000006</v>
      </c>
      <c r="K208">
        <v>68651.47</v>
      </c>
      <c r="L208">
        <v>78949.19</v>
      </c>
      <c r="M208" t="s">
        <v>1336</v>
      </c>
      <c r="N208" t="s">
        <v>19</v>
      </c>
      <c r="O208" t="s">
        <v>15</v>
      </c>
      <c r="P208" t="s">
        <v>1337</v>
      </c>
      <c r="Q208">
        <v>13</v>
      </c>
      <c r="R208" t="s">
        <v>3876</v>
      </c>
    </row>
    <row r="209" spans="1:18" x14ac:dyDescent="0.2">
      <c r="A209" t="s">
        <v>1345</v>
      </c>
      <c r="B209" t="s">
        <v>1339</v>
      </c>
      <c r="C209" t="s">
        <v>121</v>
      </c>
      <c r="D209" t="s">
        <v>1339</v>
      </c>
      <c r="E209" t="s">
        <v>1346</v>
      </c>
      <c r="F209" t="s">
        <v>797</v>
      </c>
      <c r="G209" t="s">
        <v>1341</v>
      </c>
      <c r="H209" t="s">
        <v>3872</v>
      </c>
      <c r="I209" t="s">
        <v>1342</v>
      </c>
      <c r="J209">
        <v>42994.720000000001</v>
      </c>
      <c r="K209">
        <v>74672.210000000006</v>
      </c>
      <c r="L209">
        <v>85873.05</v>
      </c>
      <c r="M209" t="s">
        <v>1343</v>
      </c>
      <c r="N209" t="s">
        <v>19</v>
      </c>
      <c r="O209" t="s">
        <v>19</v>
      </c>
      <c r="P209" t="s">
        <v>1344</v>
      </c>
      <c r="Q209">
        <v>0</v>
      </c>
      <c r="R209" t="s">
        <v>3878</v>
      </c>
    </row>
    <row r="210" spans="1:18" x14ac:dyDescent="0.2">
      <c r="A210" t="s">
        <v>1349</v>
      </c>
      <c r="B210" t="s">
        <v>148</v>
      </c>
      <c r="C210" t="s">
        <v>1052</v>
      </c>
      <c r="D210" t="s">
        <v>1052</v>
      </c>
      <c r="E210" t="s">
        <v>1350</v>
      </c>
      <c r="F210" t="s">
        <v>951</v>
      </c>
      <c r="G210" t="s">
        <v>952</v>
      </c>
      <c r="H210" t="s">
        <v>3872</v>
      </c>
      <c r="I210" t="s">
        <v>1351</v>
      </c>
      <c r="J210">
        <v>64717.83</v>
      </c>
      <c r="K210">
        <v>42994.720000000001</v>
      </c>
      <c r="L210">
        <v>49443.93</v>
      </c>
      <c r="M210" t="s">
        <v>1347</v>
      </c>
      <c r="N210" t="s">
        <v>19</v>
      </c>
      <c r="O210" t="s">
        <v>19</v>
      </c>
      <c r="P210" t="s">
        <v>1348</v>
      </c>
      <c r="Q210">
        <v>2</v>
      </c>
      <c r="R210" t="s">
        <v>3876</v>
      </c>
    </row>
    <row r="211" spans="1:18" x14ac:dyDescent="0.2">
      <c r="A211" t="s">
        <v>1354</v>
      </c>
      <c r="B211" t="s">
        <v>1355</v>
      </c>
      <c r="C211" t="s">
        <v>14</v>
      </c>
      <c r="D211" t="s">
        <v>14</v>
      </c>
      <c r="E211" t="s">
        <v>1356</v>
      </c>
      <c r="F211" t="s">
        <v>951</v>
      </c>
      <c r="G211" t="s">
        <v>952</v>
      </c>
      <c r="H211" t="s">
        <v>3872</v>
      </c>
      <c r="I211" t="s">
        <v>1357</v>
      </c>
      <c r="J211">
        <v>15927.31</v>
      </c>
      <c r="K211">
        <v>64717.83</v>
      </c>
      <c r="L211">
        <v>74425.509999999995</v>
      </c>
      <c r="M211" t="s">
        <v>1352</v>
      </c>
      <c r="N211" t="s">
        <v>19</v>
      </c>
      <c r="O211" t="s">
        <v>15</v>
      </c>
      <c r="P211" t="s">
        <v>1353</v>
      </c>
      <c r="Q211">
        <v>2</v>
      </c>
      <c r="R211" t="s">
        <v>3876</v>
      </c>
    </row>
    <row r="212" spans="1:18" x14ac:dyDescent="0.2">
      <c r="A212" t="s">
        <v>1360</v>
      </c>
      <c r="B212" t="s">
        <v>821</v>
      </c>
      <c r="C212" t="s">
        <v>113</v>
      </c>
      <c r="D212" t="s">
        <v>823</v>
      </c>
      <c r="E212" t="s">
        <v>1361</v>
      </c>
      <c r="F212" t="s">
        <v>951</v>
      </c>
      <c r="G212" t="s">
        <v>952</v>
      </c>
      <c r="H212" s="2" t="s">
        <v>3871</v>
      </c>
      <c r="I212" t="s">
        <v>1362</v>
      </c>
      <c r="J212">
        <v>15600</v>
      </c>
      <c r="K212">
        <v>15927.31</v>
      </c>
      <c r="L212">
        <v>18316.419999999998</v>
      </c>
      <c r="M212" t="s">
        <v>1358</v>
      </c>
      <c r="N212" t="s">
        <v>19</v>
      </c>
      <c r="O212" t="s">
        <v>19</v>
      </c>
      <c r="P212" t="s">
        <v>1359</v>
      </c>
      <c r="Q212">
        <v>1</v>
      </c>
      <c r="R212" t="s">
        <v>3877</v>
      </c>
    </row>
    <row r="213" spans="1:18" x14ac:dyDescent="0.2">
      <c r="A213" t="s">
        <v>1365</v>
      </c>
      <c r="B213" t="s">
        <v>335</v>
      </c>
      <c r="C213" t="s">
        <v>14</v>
      </c>
      <c r="D213" t="s">
        <v>336</v>
      </c>
      <c r="E213" t="s">
        <v>1366</v>
      </c>
      <c r="F213" t="s">
        <v>951</v>
      </c>
      <c r="G213" t="s">
        <v>952</v>
      </c>
      <c r="H213" s="2" t="s">
        <v>3871</v>
      </c>
      <c r="I213" t="s">
        <v>1367</v>
      </c>
      <c r="J213">
        <v>31180.19</v>
      </c>
      <c r="K213">
        <v>15600</v>
      </c>
      <c r="L213">
        <v>17940</v>
      </c>
      <c r="M213" t="s">
        <v>1363</v>
      </c>
      <c r="N213" t="s">
        <v>19</v>
      </c>
      <c r="O213" t="s">
        <v>18</v>
      </c>
      <c r="P213" t="s">
        <v>1364</v>
      </c>
      <c r="Q213">
        <v>7</v>
      </c>
      <c r="R213" t="s">
        <v>3876</v>
      </c>
    </row>
    <row r="214" spans="1:18" x14ac:dyDescent="0.2">
      <c r="A214" t="s">
        <v>1370</v>
      </c>
      <c r="B214" t="s">
        <v>1371</v>
      </c>
      <c r="C214" t="s">
        <v>129</v>
      </c>
      <c r="D214" t="s">
        <v>130</v>
      </c>
      <c r="E214" t="s">
        <v>1372</v>
      </c>
      <c r="F214" t="s">
        <v>951</v>
      </c>
      <c r="G214" t="s">
        <v>952</v>
      </c>
      <c r="H214" t="s">
        <v>3872</v>
      </c>
      <c r="I214" t="s">
        <v>1373</v>
      </c>
      <c r="J214">
        <v>9418.07</v>
      </c>
      <c r="K214">
        <v>31180.19</v>
      </c>
      <c r="L214">
        <v>35857.22</v>
      </c>
      <c r="M214" t="s">
        <v>1368</v>
      </c>
      <c r="N214" t="s">
        <v>19</v>
      </c>
      <c r="O214" t="s">
        <v>19</v>
      </c>
      <c r="P214" t="s">
        <v>1369</v>
      </c>
      <c r="Q214">
        <v>2</v>
      </c>
      <c r="R214" t="s">
        <v>3877</v>
      </c>
    </row>
    <row r="215" spans="1:18" x14ac:dyDescent="0.2">
      <c r="A215" t="s">
        <v>1376</v>
      </c>
      <c r="B215" t="s">
        <v>148</v>
      </c>
      <c r="C215" t="s">
        <v>113</v>
      </c>
      <c r="D215" t="s">
        <v>151</v>
      </c>
      <c r="E215" t="s">
        <v>1377</v>
      </c>
      <c r="F215" t="s">
        <v>864</v>
      </c>
      <c r="G215" t="s">
        <v>865</v>
      </c>
      <c r="H215" t="s">
        <v>3872</v>
      </c>
      <c r="I215" t="s">
        <v>1378</v>
      </c>
      <c r="J215">
        <v>64717.83</v>
      </c>
      <c r="K215">
        <v>9418.07</v>
      </c>
      <c r="L215">
        <v>10830.78</v>
      </c>
      <c r="M215" t="s">
        <v>1374</v>
      </c>
      <c r="N215" t="s">
        <v>19</v>
      </c>
      <c r="O215" t="s">
        <v>18</v>
      </c>
      <c r="P215" t="s">
        <v>1375</v>
      </c>
      <c r="Q215">
        <v>2</v>
      </c>
      <c r="R215" t="s">
        <v>3876</v>
      </c>
    </row>
    <row r="216" spans="1:18" x14ac:dyDescent="0.2">
      <c r="A216" t="s">
        <v>1381</v>
      </c>
      <c r="B216" t="s">
        <v>119</v>
      </c>
      <c r="C216" t="s">
        <v>121</v>
      </c>
      <c r="D216" t="s">
        <v>122</v>
      </c>
      <c r="E216" t="s">
        <v>1382</v>
      </c>
      <c r="F216" t="s">
        <v>864</v>
      </c>
      <c r="G216" t="s">
        <v>865</v>
      </c>
      <c r="H216" s="2" t="s">
        <v>3871</v>
      </c>
      <c r="I216" t="s">
        <v>1383</v>
      </c>
      <c r="J216">
        <v>3194.69</v>
      </c>
      <c r="K216">
        <v>64717.83</v>
      </c>
      <c r="L216">
        <v>74425.509999999995</v>
      </c>
      <c r="M216" t="s">
        <v>1379</v>
      </c>
      <c r="N216" t="s">
        <v>19</v>
      </c>
      <c r="O216" t="s">
        <v>15</v>
      </c>
      <c r="P216" t="s">
        <v>1380</v>
      </c>
      <c r="Q216">
        <v>1</v>
      </c>
      <c r="R216" t="s">
        <v>3877</v>
      </c>
    </row>
    <row r="217" spans="1:18" x14ac:dyDescent="0.2">
      <c r="A217" t="s">
        <v>1386</v>
      </c>
      <c r="B217" t="s">
        <v>119</v>
      </c>
      <c r="C217" t="s">
        <v>121</v>
      </c>
      <c r="D217" t="s">
        <v>122</v>
      </c>
      <c r="E217" t="s">
        <v>1387</v>
      </c>
      <c r="F217" t="s">
        <v>864</v>
      </c>
      <c r="G217" t="s">
        <v>865</v>
      </c>
      <c r="H217" s="2" t="s">
        <v>3871</v>
      </c>
      <c r="I217" t="s">
        <v>1383</v>
      </c>
      <c r="J217">
        <v>3194.69</v>
      </c>
      <c r="K217">
        <v>3194.69</v>
      </c>
      <c r="L217">
        <v>3673.89</v>
      </c>
      <c r="M217" t="s">
        <v>1384</v>
      </c>
      <c r="N217" t="s">
        <v>19</v>
      </c>
      <c r="O217" t="s">
        <v>18</v>
      </c>
      <c r="P217" t="s">
        <v>1385</v>
      </c>
      <c r="Q217">
        <v>1</v>
      </c>
      <c r="R217" t="s">
        <v>3877</v>
      </c>
    </row>
    <row r="218" spans="1:18" x14ac:dyDescent="0.2">
      <c r="A218" t="s">
        <v>1390</v>
      </c>
      <c r="B218" t="s">
        <v>119</v>
      </c>
      <c r="C218" t="s">
        <v>121</v>
      </c>
      <c r="D218" t="s">
        <v>122</v>
      </c>
      <c r="E218" t="s">
        <v>1391</v>
      </c>
      <c r="F218" t="s">
        <v>864</v>
      </c>
      <c r="G218" t="s">
        <v>865</v>
      </c>
      <c r="H218" s="2" t="s">
        <v>3871</v>
      </c>
      <c r="I218" t="s">
        <v>1392</v>
      </c>
      <c r="J218">
        <v>7872.44</v>
      </c>
      <c r="K218">
        <v>3194.69</v>
      </c>
      <c r="L218">
        <v>3673.89</v>
      </c>
      <c r="M218" t="s">
        <v>1388</v>
      </c>
      <c r="N218" t="s">
        <v>19</v>
      </c>
      <c r="O218" t="s">
        <v>18</v>
      </c>
      <c r="P218" t="s">
        <v>1389</v>
      </c>
      <c r="Q218">
        <v>2</v>
      </c>
      <c r="R218" t="s">
        <v>3877</v>
      </c>
    </row>
    <row r="219" spans="1:18" x14ac:dyDescent="0.2">
      <c r="A219" t="s">
        <v>1395</v>
      </c>
      <c r="B219" t="s">
        <v>1396</v>
      </c>
      <c r="C219" t="s">
        <v>1397</v>
      </c>
      <c r="D219" t="s">
        <v>168</v>
      </c>
      <c r="E219" t="s">
        <v>1398</v>
      </c>
      <c r="F219" t="s">
        <v>929</v>
      </c>
      <c r="G219" t="s">
        <v>1399</v>
      </c>
      <c r="H219" t="s">
        <v>3872</v>
      </c>
      <c r="I219" t="s">
        <v>1400</v>
      </c>
      <c r="J219">
        <v>1380</v>
      </c>
      <c r="K219">
        <v>7872.44</v>
      </c>
      <c r="L219">
        <v>9053.2999999999993</v>
      </c>
      <c r="M219" t="s">
        <v>1393</v>
      </c>
      <c r="N219" t="s">
        <v>19</v>
      </c>
      <c r="O219" t="s">
        <v>18</v>
      </c>
      <c r="P219" t="s">
        <v>1394</v>
      </c>
      <c r="Q219">
        <v>0</v>
      </c>
      <c r="R219" t="s">
        <v>3877</v>
      </c>
    </row>
    <row r="220" spans="1:18" x14ac:dyDescent="0.2">
      <c r="A220" t="s">
        <v>1403</v>
      </c>
      <c r="B220" t="s">
        <v>1404</v>
      </c>
      <c r="C220" t="s">
        <v>113</v>
      </c>
      <c r="D220" t="s">
        <v>1405</v>
      </c>
      <c r="E220" t="s">
        <v>220</v>
      </c>
      <c r="F220" t="s">
        <v>929</v>
      </c>
      <c r="G220" t="s">
        <v>1399</v>
      </c>
      <c r="H220" s="2" t="s">
        <v>3871</v>
      </c>
      <c r="I220" t="s">
        <v>1406</v>
      </c>
      <c r="J220">
        <v>41600.06</v>
      </c>
      <c r="K220">
        <v>1380</v>
      </c>
      <c r="L220">
        <v>1587</v>
      </c>
      <c r="M220" t="s">
        <v>1401</v>
      </c>
      <c r="N220" t="s">
        <v>19</v>
      </c>
      <c r="O220" t="s">
        <v>19</v>
      </c>
      <c r="P220" t="s">
        <v>1402</v>
      </c>
      <c r="Q220">
        <v>12</v>
      </c>
      <c r="R220" t="s">
        <v>3877</v>
      </c>
    </row>
    <row r="221" spans="1:18" x14ac:dyDescent="0.2">
      <c r="A221" t="s">
        <v>1409</v>
      </c>
      <c r="B221" t="s">
        <v>1410</v>
      </c>
      <c r="C221" t="s">
        <v>1258</v>
      </c>
      <c r="D221" t="s">
        <v>1411</v>
      </c>
      <c r="E221" t="s">
        <v>283</v>
      </c>
      <c r="F221" t="s">
        <v>929</v>
      </c>
      <c r="G221" t="s">
        <v>1399</v>
      </c>
      <c r="H221" s="2" t="s">
        <v>3871</v>
      </c>
      <c r="I221" t="s">
        <v>1412</v>
      </c>
      <c r="J221">
        <v>289712.5</v>
      </c>
      <c r="K221">
        <v>41600.06</v>
      </c>
      <c r="L221">
        <v>47840.07</v>
      </c>
      <c r="M221" t="s">
        <v>1407</v>
      </c>
      <c r="N221" t="s">
        <v>19</v>
      </c>
      <c r="O221" t="s">
        <v>18</v>
      </c>
      <c r="P221" t="s">
        <v>1408</v>
      </c>
      <c r="Q221">
        <v>20</v>
      </c>
      <c r="R221" t="s">
        <v>3877</v>
      </c>
    </row>
    <row r="222" spans="1:18" x14ac:dyDescent="0.2">
      <c r="A222" t="s">
        <v>1415</v>
      </c>
      <c r="B222" t="s">
        <v>245</v>
      </c>
      <c r="C222" t="s">
        <v>113</v>
      </c>
      <c r="D222" t="s">
        <v>564</v>
      </c>
      <c r="E222" t="s">
        <v>1416</v>
      </c>
      <c r="F222" t="s">
        <v>1074</v>
      </c>
      <c r="G222" t="s">
        <v>1417</v>
      </c>
      <c r="H222" t="s">
        <v>3872</v>
      </c>
      <c r="I222" t="s">
        <v>246</v>
      </c>
      <c r="J222">
        <v>50208.19</v>
      </c>
      <c r="K222">
        <v>289712.5</v>
      </c>
      <c r="L222">
        <v>333169.39</v>
      </c>
      <c r="M222" t="s">
        <v>1413</v>
      </c>
      <c r="N222" t="s">
        <v>19</v>
      </c>
      <c r="O222" t="s">
        <v>18</v>
      </c>
      <c r="P222" t="s">
        <v>1414</v>
      </c>
      <c r="Q222">
        <v>12</v>
      </c>
      <c r="R222" t="s">
        <v>3876</v>
      </c>
    </row>
    <row r="223" spans="1:18" x14ac:dyDescent="0.2">
      <c r="A223" t="s">
        <v>1420</v>
      </c>
      <c r="B223" t="s">
        <v>921</v>
      </c>
      <c r="C223" t="s">
        <v>759</v>
      </c>
      <c r="D223" t="s">
        <v>1421</v>
      </c>
      <c r="E223" t="s">
        <v>1422</v>
      </c>
      <c r="F223" t="s">
        <v>962</v>
      </c>
      <c r="G223" t="s">
        <v>1423</v>
      </c>
      <c r="H223" s="2" t="s">
        <v>3871</v>
      </c>
      <c r="I223" t="s">
        <v>1424</v>
      </c>
      <c r="J223">
        <v>20252.5</v>
      </c>
      <c r="K223">
        <v>50208.19</v>
      </c>
      <c r="L223">
        <v>57739.42</v>
      </c>
      <c r="M223" t="s">
        <v>1418</v>
      </c>
      <c r="N223" t="s">
        <v>19</v>
      </c>
      <c r="O223" t="s">
        <v>19</v>
      </c>
      <c r="P223" t="s">
        <v>1419</v>
      </c>
      <c r="Q223">
        <v>1</v>
      </c>
      <c r="R223" t="s">
        <v>3877</v>
      </c>
    </row>
    <row r="224" spans="1:18" x14ac:dyDescent="0.2">
      <c r="A224" t="s">
        <v>1427</v>
      </c>
      <c r="B224" t="s">
        <v>426</v>
      </c>
      <c r="C224" t="s">
        <v>14</v>
      </c>
      <c r="D224" t="s">
        <v>427</v>
      </c>
      <c r="E224" t="s">
        <v>1428</v>
      </c>
      <c r="F224" t="s">
        <v>962</v>
      </c>
      <c r="G224" t="s">
        <v>1423</v>
      </c>
      <c r="H224" t="s">
        <v>3872</v>
      </c>
      <c r="I224" t="s">
        <v>1429</v>
      </c>
      <c r="J224">
        <v>10629.21</v>
      </c>
      <c r="K224">
        <v>20252.5</v>
      </c>
      <c r="L224">
        <v>23290.38</v>
      </c>
      <c r="M224" t="s">
        <v>1425</v>
      </c>
      <c r="N224" t="s">
        <v>19</v>
      </c>
      <c r="O224" t="s">
        <v>18</v>
      </c>
      <c r="P224" t="s">
        <v>1426</v>
      </c>
      <c r="Q224">
        <v>1</v>
      </c>
      <c r="R224" t="s">
        <v>3877</v>
      </c>
    </row>
    <row r="225" spans="1:18" x14ac:dyDescent="0.2">
      <c r="A225" t="s">
        <v>1432</v>
      </c>
      <c r="B225" t="s">
        <v>1323</v>
      </c>
      <c r="C225" t="s">
        <v>1258</v>
      </c>
      <c r="D225" t="s">
        <v>1324</v>
      </c>
      <c r="E225" t="s">
        <v>283</v>
      </c>
      <c r="F225" t="s">
        <v>995</v>
      </c>
      <c r="G225" t="s">
        <v>1433</v>
      </c>
      <c r="H225" s="2" t="s">
        <v>3871</v>
      </c>
      <c r="I225" t="s">
        <v>1434</v>
      </c>
      <c r="J225">
        <v>105791.4</v>
      </c>
      <c r="K225">
        <v>10629.21</v>
      </c>
      <c r="L225">
        <v>12223.6</v>
      </c>
      <c r="M225" t="s">
        <v>1430</v>
      </c>
      <c r="N225" t="s">
        <v>19</v>
      </c>
      <c r="O225" t="s">
        <v>18</v>
      </c>
      <c r="P225" t="s">
        <v>1431</v>
      </c>
      <c r="Q225">
        <v>5</v>
      </c>
      <c r="R225" t="s">
        <v>3877</v>
      </c>
    </row>
    <row r="226" spans="1:18" x14ac:dyDescent="0.2">
      <c r="A226" t="s">
        <v>1437</v>
      </c>
      <c r="B226" t="s">
        <v>1438</v>
      </c>
      <c r="C226" t="s">
        <v>1439</v>
      </c>
      <c r="D226" t="s">
        <v>1440</v>
      </c>
      <c r="E226" t="s">
        <v>1441</v>
      </c>
      <c r="F226" t="s">
        <v>995</v>
      </c>
      <c r="G226" t="s">
        <v>1433</v>
      </c>
      <c r="H226" t="s">
        <v>3872</v>
      </c>
      <c r="I226" t="s">
        <v>1442</v>
      </c>
      <c r="J226">
        <v>181960.14</v>
      </c>
      <c r="K226">
        <v>105791.4</v>
      </c>
      <c r="L226">
        <v>121660.12</v>
      </c>
      <c r="M226" t="s">
        <v>1435</v>
      </c>
      <c r="N226" t="s">
        <v>19</v>
      </c>
      <c r="O226" t="s">
        <v>18</v>
      </c>
      <c r="P226" t="s">
        <v>1436</v>
      </c>
      <c r="Q226">
        <v>34</v>
      </c>
      <c r="R226" t="s">
        <v>3876</v>
      </c>
    </row>
    <row r="227" spans="1:18" x14ac:dyDescent="0.2">
      <c r="A227" t="s">
        <v>1445</v>
      </c>
      <c r="B227" t="s">
        <v>1283</v>
      </c>
      <c r="C227" t="s">
        <v>1284</v>
      </c>
      <c r="D227" t="s">
        <v>1285</v>
      </c>
      <c r="E227" t="s">
        <v>1446</v>
      </c>
      <c r="F227" t="s">
        <v>995</v>
      </c>
      <c r="G227" t="s">
        <v>1433</v>
      </c>
      <c r="H227" t="s">
        <v>3872</v>
      </c>
      <c r="I227" t="s">
        <v>1447</v>
      </c>
      <c r="J227">
        <v>27495.1</v>
      </c>
      <c r="K227">
        <v>181960.14</v>
      </c>
      <c r="L227">
        <v>209254.17</v>
      </c>
      <c r="M227" t="s">
        <v>1443</v>
      </c>
      <c r="N227" t="s">
        <v>19</v>
      </c>
      <c r="O227" t="s">
        <v>19</v>
      </c>
      <c r="P227" t="s">
        <v>1444</v>
      </c>
      <c r="Q227">
        <v>1</v>
      </c>
      <c r="R227" t="s">
        <v>3876</v>
      </c>
    </row>
    <row r="228" spans="1:18" x14ac:dyDescent="0.2">
      <c r="A228" t="s">
        <v>1450</v>
      </c>
      <c r="B228" t="s">
        <v>119</v>
      </c>
      <c r="C228" t="s">
        <v>1258</v>
      </c>
      <c r="D228" t="s">
        <v>1451</v>
      </c>
      <c r="E228" t="s">
        <v>220</v>
      </c>
      <c r="F228" t="s">
        <v>1452</v>
      </c>
      <c r="G228" t="s">
        <v>1453</v>
      </c>
      <c r="H228" s="2" t="s">
        <v>3871</v>
      </c>
      <c r="I228" t="s">
        <v>1454</v>
      </c>
      <c r="J228">
        <v>5299.75</v>
      </c>
      <c r="K228">
        <v>27495.1</v>
      </c>
      <c r="L228">
        <v>31619.37</v>
      </c>
      <c r="M228" t="s">
        <v>1448</v>
      </c>
      <c r="N228" t="s">
        <v>19</v>
      </c>
      <c r="O228" t="s">
        <v>19</v>
      </c>
      <c r="P228" t="s">
        <v>1449</v>
      </c>
      <c r="Q228">
        <v>1</v>
      </c>
      <c r="R228" t="s">
        <v>3877</v>
      </c>
    </row>
    <row r="229" spans="1:18" x14ac:dyDescent="0.2">
      <c r="A229" t="s">
        <v>1457</v>
      </c>
      <c r="B229" t="s">
        <v>1458</v>
      </c>
      <c r="C229" t="s">
        <v>1460</v>
      </c>
      <c r="D229" t="s">
        <v>168</v>
      </c>
      <c r="E229" t="s">
        <v>1461</v>
      </c>
      <c r="F229" t="s">
        <v>1452</v>
      </c>
      <c r="G229" t="s">
        <v>1453</v>
      </c>
      <c r="H229" t="s">
        <v>3872</v>
      </c>
      <c r="I229" t="s">
        <v>1462</v>
      </c>
      <c r="J229">
        <v>2205</v>
      </c>
      <c r="K229">
        <v>5299.75</v>
      </c>
      <c r="L229">
        <v>6094.71</v>
      </c>
      <c r="M229" t="s">
        <v>1455</v>
      </c>
      <c r="N229" t="s">
        <v>19</v>
      </c>
      <c r="O229" t="s">
        <v>18</v>
      </c>
      <c r="P229" t="s">
        <v>1456</v>
      </c>
      <c r="Q229">
        <v>0</v>
      </c>
      <c r="R229" t="s">
        <v>3876</v>
      </c>
    </row>
    <row r="230" spans="1:18" x14ac:dyDescent="0.2">
      <c r="A230" t="s">
        <v>1465</v>
      </c>
      <c r="B230" t="s">
        <v>1466</v>
      </c>
      <c r="C230" t="s">
        <v>1467</v>
      </c>
      <c r="D230" t="s">
        <v>168</v>
      </c>
      <c r="E230" t="s">
        <v>1468</v>
      </c>
      <c r="F230" t="s">
        <v>1452</v>
      </c>
      <c r="G230" t="s">
        <v>1453</v>
      </c>
      <c r="H230" t="s">
        <v>3872</v>
      </c>
      <c r="I230" t="s">
        <v>1469</v>
      </c>
      <c r="J230">
        <v>1980</v>
      </c>
      <c r="K230">
        <v>2205</v>
      </c>
      <c r="L230">
        <v>2535.75</v>
      </c>
      <c r="M230" t="s">
        <v>1463</v>
      </c>
      <c r="N230" t="s">
        <v>19</v>
      </c>
      <c r="O230" t="s">
        <v>19</v>
      </c>
      <c r="P230" t="s">
        <v>1464</v>
      </c>
      <c r="Q230">
        <v>0</v>
      </c>
      <c r="R230" t="s">
        <v>3876</v>
      </c>
    </row>
    <row r="231" spans="1:18" x14ac:dyDescent="0.2">
      <c r="A231" t="s">
        <v>1472</v>
      </c>
      <c r="B231" t="s">
        <v>158</v>
      </c>
      <c r="C231" t="s">
        <v>121</v>
      </c>
      <c r="D231" t="s">
        <v>160</v>
      </c>
      <c r="E231" t="s">
        <v>1473</v>
      </c>
      <c r="F231" t="s">
        <v>1452</v>
      </c>
      <c r="G231" t="s">
        <v>1453</v>
      </c>
      <c r="H231" s="2" t="s">
        <v>3871</v>
      </c>
      <c r="I231" t="s">
        <v>1474</v>
      </c>
      <c r="J231">
        <v>8918</v>
      </c>
      <c r="K231">
        <v>1980</v>
      </c>
      <c r="L231">
        <v>2277</v>
      </c>
      <c r="M231" t="s">
        <v>1470</v>
      </c>
      <c r="N231" t="s">
        <v>19</v>
      </c>
      <c r="O231" t="s">
        <v>19</v>
      </c>
      <c r="P231" t="s">
        <v>1471</v>
      </c>
      <c r="Q231">
        <v>0</v>
      </c>
      <c r="R231" t="s">
        <v>3877</v>
      </c>
    </row>
    <row r="232" spans="1:18" x14ac:dyDescent="0.2">
      <c r="A232" t="s">
        <v>1477</v>
      </c>
      <c r="B232" t="s">
        <v>1478</v>
      </c>
      <c r="C232" t="s">
        <v>1479</v>
      </c>
      <c r="D232" t="s">
        <v>1480</v>
      </c>
      <c r="E232" t="s">
        <v>1481</v>
      </c>
      <c r="F232" t="s">
        <v>1482</v>
      </c>
      <c r="G232" t="s">
        <v>1483</v>
      </c>
      <c r="H232" t="s">
        <v>3872</v>
      </c>
      <c r="I232" t="s">
        <v>1484</v>
      </c>
      <c r="J232">
        <v>6017.5</v>
      </c>
      <c r="K232">
        <v>8918</v>
      </c>
      <c r="L232">
        <v>10255.700000000001</v>
      </c>
      <c r="M232" t="s">
        <v>1475</v>
      </c>
      <c r="N232" t="s">
        <v>19</v>
      </c>
      <c r="O232" t="s">
        <v>18</v>
      </c>
      <c r="P232" t="s">
        <v>1476</v>
      </c>
      <c r="Q232">
        <v>0</v>
      </c>
      <c r="R232" t="s">
        <v>3876</v>
      </c>
    </row>
    <row r="233" spans="1:18" x14ac:dyDescent="0.2">
      <c r="A233" t="s">
        <v>1487</v>
      </c>
      <c r="B233" t="s">
        <v>1478</v>
      </c>
      <c r="C233" t="s">
        <v>1479</v>
      </c>
      <c r="D233" t="s">
        <v>1480</v>
      </c>
      <c r="E233" t="s">
        <v>1488</v>
      </c>
      <c r="F233" t="s">
        <v>1452</v>
      </c>
      <c r="G233" t="s">
        <v>1453</v>
      </c>
      <c r="H233" t="s">
        <v>3872</v>
      </c>
      <c r="I233" t="s">
        <v>1484</v>
      </c>
      <c r="J233">
        <v>13188</v>
      </c>
      <c r="K233">
        <v>6017.5</v>
      </c>
      <c r="L233">
        <v>6920.13</v>
      </c>
      <c r="M233" t="s">
        <v>1485</v>
      </c>
      <c r="N233" t="s">
        <v>19</v>
      </c>
      <c r="O233" t="s">
        <v>19</v>
      </c>
      <c r="P233" t="s">
        <v>1486</v>
      </c>
      <c r="Q233">
        <v>1</v>
      </c>
      <c r="R233" t="s">
        <v>3876</v>
      </c>
    </row>
    <row r="234" spans="1:18" x14ac:dyDescent="0.2">
      <c r="A234" t="s">
        <v>1491</v>
      </c>
      <c r="B234" t="s">
        <v>198</v>
      </c>
      <c r="C234" t="s">
        <v>1492</v>
      </c>
      <c r="D234" t="s">
        <v>1492</v>
      </c>
      <c r="E234" t="s">
        <v>1116</v>
      </c>
      <c r="F234" t="s">
        <v>1452</v>
      </c>
      <c r="G234" t="s">
        <v>1453</v>
      </c>
      <c r="H234" t="s">
        <v>3872</v>
      </c>
      <c r="I234" t="s">
        <v>1493</v>
      </c>
      <c r="J234">
        <v>371903.63</v>
      </c>
      <c r="K234">
        <v>13188</v>
      </c>
      <c r="L234">
        <v>15166.2</v>
      </c>
      <c r="M234" t="s">
        <v>1489</v>
      </c>
      <c r="N234" t="s">
        <v>19</v>
      </c>
      <c r="O234" t="s">
        <v>19</v>
      </c>
      <c r="P234" t="s">
        <v>1490</v>
      </c>
      <c r="Q234">
        <v>64</v>
      </c>
      <c r="R234" t="s">
        <v>3879</v>
      </c>
    </row>
    <row r="235" spans="1:18" x14ac:dyDescent="0.2">
      <c r="A235" t="s">
        <v>1496</v>
      </c>
      <c r="B235" t="s">
        <v>198</v>
      </c>
      <c r="C235" t="s">
        <v>1492</v>
      </c>
      <c r="D235" t="s">
        <v>1492</v>
      </c>
      <c r="E235" t="s">
        <v>1497</v>
      </c>
      <c r="F235" t="s">
        <v>1498</v>
      </c>
      <c r="G235" t="s">
        <v>1499</v>
      </c>
      <c r="H235" t="s">
        <v>3872</v>
      </c>
      <c r="I235" t="s">
        <v>1500</v>
      </c>
      <c r="J235">
        <v>96490.33</v>
      </c>
      <c r="K235">
        <v>371903.63</v>
      </c>
      <c r="L235">
        <v>427689.17</v>
      </c>
      <c r="M235" t="s">
        <v>1494</v>
      </c>
      <c r="N235" t="s">
        <v>19</v>
      </c>
      <c r="O235" t="s">
        <v>19</v>
      </c>
      <c r="P235" t="s">
        <v>1495</v>
      </c>
      <c r="Q235">
        <v>36</v>
      </c>
      <c r="R235" t="s">
        <v>3877</v>
      </c>
    </row>
    <row r="236" spans="1:18" x14ac:dyDescent="0.2">
      <c r="A236" t="s">
        <v>1503</v>
      </c>
      <c r="B236" t="s">
        <v>1504</v>
      </c>
      <c r="C236" t="s">
        <v>1505</v>
      </c>
      <c r="D236" t="s">
        <v>168</v>
      </c>
      <c r="E236" t="s">
        <v>1506</v>
      </c>
      <c r="F236" t="s">
        <v>1055</v>
      </c>
      <c r="G236" t="s">
        <v>1507</v>
      </c>
      <c r="H236" t="s">
        <v>3872</v>
      </c>
      <c r="I236" t="s">
        <v>1508</v>
      </c>
      <c r="J236">
        <v>1725</v>
      </c>
      <c r="K236">
        <v>96490.33</v>
      </c>
      <c r="L236">
        <v>110963.89</v>
      </c>
      <c r="M236" t="s">
        <v>1501</v>
      </c>
      <c r="N236" t="s">
        <v>19</v>
      </c>
      <c r="O236" t="s">
        <v>19</v>
      </c>
      <c r="P236" t="s">
        <v>1502</v>
      </c>
      <c r="Q236">
        <v>0</v>
      </c>
      <c r="R236" t="s">
        <v>3877</v>
      </c>
    </row>
    <row r="237" spans="1:18" x14ac:dyDescent="0.2">
      <c r="A237" t="s">
        <v>1511</v>
      </c>
      <c r="B237" t="s">
        <v>335</v>
      </c>
      <c r="C237" t="s">
        <v>14</v>
      </c>
      <c r="D237" t="s">
        <v>336</v>
      </c>
      <c r="E237" t="s">
        <v>1512</v>
      </c>
      <c r="F237" t="s">
        <v>1074</v>
      </c>
      <c r="G237" t="s">
        <v>1417</v>
      </c>
      <c r="H237" s="2" t="s">
        <v>3871</v>
      </c>
      <c r="I237" t="s">
        <v>1513</v>
      </c>
      <c r="J237">
        <v>112635.79</v>
      </c>
      <c r="K237">
        <v>1725</v>
      </c>
      <c r="L237">
        <v>1983.75</v>
      </c>
      <c r="M237" t="s">
        <v>1509</v>
      </c>
      <c r="N237" t="s">
        <v>19</v>
      </c>
      <c r="O237" t="s">
        <v>18</v>
      </c>
      <c r="P237" t="s">
        <v>1510</v>
      </c>
      <c r="Q237">
        <v>42</v>
      </c>
      <c r="R237" t="s">
        <v>3876</v>
      </c>
    </row>
    <row r="238" spans="1:18" x14ac:dyDescent="0.2">
      <c r="A238" t="s">
        <v>1516</v>
      </c>
      <c r="B238" t="s">
        <v>585</v>
      </c>
      <c r="C238" t="s">
        <v>121</v>
      </c>
      <c r="D238" t="s">
        <v>168</v>
      </c>
      <c r="E238" t="s">
        <v>1517</v>
      </c>
      <c r="F238" t="s">
        <v>1074</v>
      </c>
      <c r="G238" t="s">
        <v>1417</v>
      </c>
      <c r="H238" t="s">
        <v>3872</v>
      </c>
      <c r="I238" t="s">
        <v>1518</v>
      </c>
      <c r="J238">
        <v>43167</v>
      </c>
      <c r="K238">
        <v>112635.79</v>
      </c>
      <c r="L238">
        <v>129531.16</v>
      </c>
      <c r="M238" t="s">
        <v>1514</v>
      </c>
      <c r="N238" t="s">
        <v>19</v>
      </c>
      <c r="O238" t="s">
        <v>19</v>
      </c>
      <c r="P238" t="s">
        <v>1515</v>
      </c>
      <c r="Q238">
        <v>2</v>
      </c>
      <c r="R238" t="s">
        <v>3878</v>
      </c>
    </row>
    <row r="239" spans="1:18" x14ac:dyDescent="0.2">
      <c r="A239" t="s">
        <v>1522</v>
      </c>
      <c r="B239" t="s">
        <v>1523</v>
      </c>
      <c r="C239" t="s">
        <v>84</v>
      </c>
      <c r="D239" t="s">
        <v>1524</v>
      </c>
      <c r="E239" t="s">
        <v>1525</v>
      </c>
      <c r="F239" t="s">
        <v>1074</v>
      </c>
      <c r="G239" t="s">
        <v>1417</v>
      </c>
      <c r="H239" s="2" t="s">
        <v>3871</v>
      </c>
      <c r="I239" t="s">
        <v>1526</v>
      </c>
      <c r="J239">
        <v>8266.0400000000009</v>
      </c>
      <c r="K239">
        <v>43167</v>
      </c>
      <c r="L239">
        <v>49642.05</v>
      </c>
      <c r="M239" t="s">
        <v>1519</v>
      </c>
      <c r="N239" t="s">
        <v>19</v>
      </c>
      <c r="O239" t="s">
        <v>1520</v>
      </c>
      <c r="P239" t="s">
        <v>1521</v>
      </c>
      <c r="Q239">
        <v>2</v>
      </c>
      <c r="R239" t="s">
        <v>3876</v>
      </c>
    </row>
    <row r="240" spans="1:18" x14ac:dyDescent="0.2">
      <c r="A240" t="s">
        <v>1529</v>
      </c>
      <c r="B240" t="s">
        <v>1530</v>
      </c>
      <c r="C240" t="s">
        <v>1532</v>
      </c>
      <c r="D240" t="s">
        <v>1531</v>
      </c>
      <c r="E240" t="s">
        <v>1533</v>
      </c>
      <c r="F240" t="s">
        <v>1074</v>
      </c>
      <c r="G240" t="s">
        <v>1417</v>
      </c>
      <c r="H240" t="s">
        <v>3872</v>
      </c>
      <c r="I240" t="s">
        <v>1534</v>
      </c>
      <c r="J240">
        <v>11523.44</v>
      </c>
      <c r="K240">
        <v>8266.0400000000009</v>
      </c>
      <c r="L240">
        <v>9505.9500000000007</v>
      </c>
      <c r="M240" t="s">
        <v>1527</v>
      </c>
      <c r="N240" t="s">
        <v>19</v>
      </c>
      <c r="O240" t="s">
        <v>19</v>
      </c>
      <c r="P240" t="s">
        <v>1528</v>
      </c>
      <c r="Q240">
        <v>1</v>
      </c>
      <c r="R240" t="s">
        <v>3877</v>
      </c>
    </row>
    <row r="241" spans="1:18" x14ac:dyDescent="0.2">
      <c r="A241" t="s">
        <v>1537</v>
      </c>
      <c r="B241" t="s">
        <v>1538</v>
      </c>
      <c r="C241" t="s">
        <v>14</v>
      </c>
      <c r="D241" t="s">
        <v>14</v>
      </c>
      <c r="E241" t="s">
        <v>283</v>
      </c>
      <c r="F241" t="s">
        <v>1091</v>
      </c>
      <c r="G241" t="s">
        <v>1539</v>
      </c>
      <c r="H241" s="2" t="s">
        <v>3871</v>
      </c>
      <c r="I241" t="s">
        <v>1540</v>
      </c>
      <c r="J241">
        <v>23100</v>
      </c>
      <c r="K241">
        <v>11523.44</v>
      </c>
      <c r="L241">
        <v>13251.96</v>
      </c>
      <c r="M241" t="s">
        <v>1535</v>
      </c>
      <c r="N241" t="s">
        <v>19</v>
      </c>
      <c r="O241" t="s">
        <v>18</v>
      </c>
      <c r="P241" t="s">
        <v>1536</v>
      </c>
      <c r="Q241">
        <v>2</v>
      </c>
      <c r="R241" t="s">
        <v>3876</v>
      </c>
    </row>
    <row r="242" spans="1:18" x14ac:dyDescent="0.2">
      <c r="A242" t="s">
        <v>1543</v>
      </c>
      <c r="B242" t="s">
        <v>1396</v>
      </c>
      <c r="C242" t="s">
        <v>1544</v>
      </c>
      <c r="D242" t="s">
        <v>1545</v>
      </c>
      <c r="E242" t="s">
        <v>1546</v>
      </c>
      <c r="F242" t="s">
        <v>1547</v>
      </c>
      <c r="G242" t="s">
        <v>1548</v>
      </c>
      <c r="H242" t="s">
        <v>3872</v>
      </c>
      <c r="I242" t="s">
        <v>1549</v>
      </c>
      <c r="J242">
        <v>15866.79</v>
      </c>
      <c r="K242">
        <v>23100</v>
      </c>
      <c r="L242">
        <v>26565</v>
      </c>
      <c r="M242" t="s">
        <v>1541</v>
      </c>
      <c r="N242" t="s">
        <v>19</v>
      </c>
      <c r="O242" t="s">
        <v>19</v>
      </c>
      <c r="P242" t="s">
        <v>1542</v>
      </c>
      <c r="Q242">
        <v>2</v>
      </c>
      <c r="R242" t="s">
        <v>3876</v>
      </c>
    </row>
    <row r="243" spans="1:18" x14ac:dyDescent="0.2">
      <c r="A243" t="s">
        <v>1552</v>
      </c>
      <c r="B243" t="s">
        <v>1237</v>
      </c>
      <c r="C243" t="s">
        <v>1238</v>
      </c>
      <c r="D243" t="s">
        <v>1238</v>
      </c>
      <c r="E243" t="s">
        <v>1553</v>
      </c>
      <c r="F243" t="s">
        <v>1228</v>
      </c>
      <c r="G243" t="s">
        <v>1554</v>
      </c>
      <c r="H243" t="s">
        <v>3872</v>
      </c>
      <c r="I243" t="s">
        <v>1555</v>
      </c>
      <c r="J243">
        <v>2035.29</v>
      </c>
      <c r="K243">
        <v>15866.79</v>
      </c>
      <c r="L243">
        <v>18246.810000000001</v>
      </c>
      <c r="M243" t="s">
        <v>1550</v>
      </c>
      <c r="N243" t="s">
        <v>19</v>
      </c>
      <c r="O243" t="s">
        <v>19</v>
      </c>
      <c r="P243" t="s">
        <v>1551</v>
      </c>
      <c r="Q243">
        <v>1</v>
      </c>
      <c r="R243" t="s">
        <v>3877</v>
      </c>
    </row>
    <row r="244" spans="1:18" x14ac:dyDescent="0.2">
      <c r="A244" t="s">
        <v>1558</v>
      </c>
      <c r="B244" t="s">
        <v>1559</v>
      </c>
      <c r="C244" t="s">
        <v>1559</v>
      </c>
      <c r="D244" t="s">
        <v>1559</v>
      </c>
      <c r="E244" t="s">
        <v>1560</v>
      </c>
      <c r="F244" t="s">
        <v>1547</v>
      </c>
      <c r="G244" t="s">
        <v>1548</v>
      </c>
      <c r="H244" t="s">
        <v>3872</v>
      </c>
      <c r="I244" t="s">
        <v>1561</v>
      </c>
      <c r="J244">
        <v>12924.4</v>
      </c>
      <c r="K244">
        <v>2035.29</v>
      </c>
      <c r="L244">
        <v>2340.58</v>
      </c>
      <c r="M244" t="s">
        <v>1556</v>
      </c>
      <c r="N244" t="s">
        <v>19</v>
      </c>
      <c r="O244" t="s">
        <v>19</v>
      </c>
      <c r="P244" t="s">
        <v>1557</v>
      </c>
      <c r="Q244">
        <v>1</v>
      </c>
      <c r="R244" t="s">
        <v>3877</v>
      </c>
    </row>
    <row r="245" spans="1:18" x14ac:dyDescent="0.2">
      <c r="A245" t="s">
        <v>1564</v>
      </c>
      <c r="B245" t="s">
        <v>148</v>
      </c>
      <c r="C245" t="s">
        <v>1565</v>
      </c>
      <c r="D245" t="s">
        <v>1565</v>
      </c>
      <c r="E245" t="s">
        <v>1566</v>
      </c>
      <c r="F245" t="s">
        <v>1134</v>
      </c>
      <c r="G245" t="s">
        <v>1567</v>
      </c>
      <c r="H245" t="s">
        <v>3872</v>
      </c>
      <c r="I245" t="s">
        <v>1568</v>
      </c>
      <c r="J245">
        <v>37008.800000000003</v>
      </c>
      <c r="K245">
        <v>12924.4</v>
      </c>
      <c r="L245">
        <v>14863.06</v>
      </c>
      <c r="M245" t="s">
        <v>1562</v>
      </c>
      <c r="N245" t="s">
        <v>19</v>
      </c>
      <c r="O245" t="s">
        <v>19</v>
      </c>
      <c r="P245" t="s">
        <v>1563</v>
      </c>
      <c r="Q245">
        <v>3</v>
      </c>
      <c r="R245" t="s">
        <v>3876</v>
      </c>
    </row>
    <row r="246" spans="1:18" x14ac:dyDescent="0.2">
      <c r="A246" t="s">
        <v>1571</v>
      </c>
      <c r="B246" t="s">
        <v>1572</v>
      </c>
      <c r="C246" t="s">
        <v>1573</v>
      </c>
      <c r="D246" t="s">
        <v>1573</v>
      </c>
      <c r="E246" t="s">
        <v>1574</v>
      </c>
      <c r="F246" t="s">
        <v>1547</v>
      </c>
      <c r="G246" t="s">
        <v>1548</v>
      </c>
      <c r="H246" s="2" t="s">
        <v>3871</v>
      </c>
      <c r="I246" t="s">
        <v>1575</v>
      </c>
      <c r="J246">
        <v>19996</v>
      </c>
      <c r="K246">
        <v>37008.800000000003</v>
      </c>
      <c r="L246">
        <v>42560.12</v>
      </c>
      <c r="M246" t="s">
        <v>1569</v>
      </c>
      <c r="N246" t="s">
        <v>19</v>
      </c>
      <c r="O246" t="s">
        <v>19</v>
      </c>
      <c r="P246" t="s">
        <v>1570</v>
      </c>
      <c r="Q246">
        <v>2</v>
      </c>
      <c r="R246" t="s">
        <v>3876</v>
      </c>
    </row>
    <row r="247" spans="1:18" x14ac:dyDescent="0.2">
      <c r="A247" t="s">
        <v>1578</v>
      </c>
      <c r="B247" t="s">
        <v>970</v>
      </c>
      <c r="C247" t="s">
        <v>972</v>
      </c>
      <c r="D247" t="s">
        <v>972</v>
      </c>
      <c r="E247" t="s">
        <v>1579</v>
      </c>
      <c r="F247" t="s">
        <v>1580</v>
      </c>
      <c r="G247" t="s">
        <v>1581</v>
      </c>
      <c r="H247" t="s">
        <v>3872</v>
      </c>
      <c r="I247" t="s">
        <v>1582</v>
      </c>
      <c r="J247">
        <v>35737.81</v>
      </c>
      <c r="K247">
        <v>19996</v>
      </c>
      <c r="L247">
        <v>22995.4</v>
      </c>
      <c r="M247" t="s">
        <v>1576</v>
      </c>
      <c r="N247" t="s">
        <v>19</v>
      </c>
      <c r="O247" t="s">
        <v>19</v>
      </c>
      <c r="P247" t="s">
        <v>1577</v>
      </c>
      <c r="Q247">
        <v>10</v>
      </c>
      <c r="R247" t="s">
        <v>3876</v>
      </c>
    </row>
    <row r="248" spans="1:18" x14ac:dyDescent="0.2">
      <c r="A248" t="s">
        <v>1585</v>
      </c>
      <c r="B248" t="s">
        <v>1586</v>
      </c>
      <c r="C248" t="s">
        <v>1586</v>
      </c>
      <c r="D248" t="s">
        <v>1586</v>
      </c>
      <c r="E248" t="s">
        <v>1587</v>
      </c>
      <c r="F248" t="s">
        <v>1547</v>
      </c>
      <c r="G248" t="s">
        <v>1548</v>
      </c>
      <c r="H248" s="2" t="s">
        <v>3871</v>
      </c>
      <c r="I248" t="s">
        <v>1588</v>
      </c>
      <c r="J248">
        <v>2524.0500000000002</v>
      </c>
      <c r="K248">
        <v>35737.81</v>
      </c>
      <c r="L248">
        <v>41098.449999999997</v>
      </c>
      <c r="M248" t="s">
        <v>1583</v>
      </c>
      <c r="N248" t="s">
        <v>19</v>
      </c>
      <c r="O248" t="s">
        <v>19</v>
      </c>
      <c r="P248" t="s">
        <v>1584</v>
      </c>
      <c r="Q248">
        <v>0</v>
      </c>
      <c r="R248" t="s">
        <v>3876</v>
      </c>
    </row>
    <row r="249" spans="1:18" x14ac:dyDescent="0.2">
      <c r="A249" t="s">
        <v>1591</v>
      </c>
      <c r="B249" t="s">
        <v>74</v>
      </c>
      <c r="C249" t="s">
        <v>76</v>
      </c>
      <c r="D249" t="s">
        <v>77</v>
      </c>
      <c r="E249" t="s">
        <v>1592</v>
      </c>
      <c r="F249" t="s">
        <v>1547</v>
      </c>
      <c r="G249" t="s">
        <v>1548</v>
      </c>
      <c r="H249" t="s">
        <v>3872</v>
      </c>
      <c r="I249" t="s">
        <v>1593</v>
      </c>
      <c r="J249">
        <v>1822.48</v>
      </c>
      <c r="K249">
        <v>2524.0500000000002</v>
      </c>
      <c r="L249">
        <v>2902.66</v>
      </c>
      <c r="M249" t="s">
        <v>1589</v>
      </c>
      <c r="N249" t="s">
        <v>19</v>
      </c>
      <c r="O249" t="s">
        <v>19</v>
      </c>
      <c r="P249" t="s">
        <v>1590</v>
      </c>
      <c r="Q249">
        <v>1</v>
      </c>
      <c r="R249" t="s">
        <v>3877</v>
      </c>
    </row>
    <row r="250" spans="1:18" x14ac:dyDescent="0.2">
      <c r="A250" t="s">
        <v>1596</v>
      </c>
      <c r="B250" t="s">
        <v>1597</v>
      </c>
      <c r="C250" t="s">
        <v>1598</v>
      </c>
      <c r="D250" t="s">
        <v>168</v>
      </c>
      <c r="E250" t="s">
        <v>1599</v>
      </c>
      <c r="F250" t="s">
        <v>1158</v>
      </c>
      <c r="G250" t="s">
        <v>1600</v>
      </c>
      <c r="H250" t="s">
        <v>3872</v>
      </c>
      <c r="I250" t="s">
        <v>1601</v>
      </c>
      <c r="J250">
        <v>11523.44</v>
      </c>
      <c r="K250">
        <v>1822.48</v>
      </c>
      <c r="L250">
        <v>2095.85</v>
      </c>
      <c r="M250" t="s">
        <v>1594</v>
      </c>
      <c r="N250" t="s">
        <v>19</v>
      </c>
      <c r="O250" t="s">
        <v>19</v>
      </c>
      <c r="P250" t="s">
        <v>1595</v>
      </c>
      <c r="Q250">
        <v>1</v>
      </c>
      <c r="R250" t="s">
        <v>3876</v>
      </c>
    </row>
    <row r="251" spans="1:18" x14ac:dyDescent="0.2">
      <c r="A251" t="s">
        <v>1604</v>
      </c>
      <c r="B251" t="s">
        <v>1037</v>
      </c>
      <c r="C251" t="s">
        <v>1605</v>
      </c>
      <c r="D251" t="s">
        <v>1605</v>
      </c>
      <c r="E251" t="s">
        <v>1606</v>
      </c>
      <c r="F251" t="s">
        <v>1228</v>
      </c>
      <c r="G251" t="s">
        <v>1554</v>
      </c>
      <c r="H251" t="s">
        <v>3872</v>
      </c>
      <c r="I251" t="s">
        <v>1607</v>
      </c>
      <c r="J251">
        <v>6525.07</v>
      </c>
      <c r="K251">
        <v>11523.44</v>
      </c>
      <c r="L251">
        <v>13251.96</v>
      </c>
      <c r="M251" t="s">
        <v>1602</v>
      </c>
      <c r="N251" t="s">
        <v>19</v>
      </c>
      <c r="O251" t="s">
        <v>19</v>
      </c>
      <c r="P251" t="s">
        <v>1603</v>
      </c>
      <c r="Q251">
        <v>2</v>
      </c>
      <c r="R251" t="s">
        <v>3877</v>
      </c>
    </row>
    <row r="252" spans="1:18" x14ac:dyDescent="0.2">
      <c r="A252" t="s">
        <v>1610</v>
      </c>
      <c r="B252" t="s">
        <v>850</v>
      </c>
      <c r="C252" t="s">
        <v>851</v>
      </c>
      <c r="D252" t="s">
        <v>851</v>
      </c>
      <c r="E252" t="s">
        <v>1611</v>
      </c>
      <c r="F252" t="s">
        <v>1228</v>
      </c>
      <c r="G252" t="s">
        <v>1554</v>
      </c>
      <c r="H252" t="s">
        <v>3872</v>
      </c>
      <c r="I252" t="s">
        <v>1612</v>
      </c>
      <c r="J252">
        <v>4009.66</v>
      </c>
      <c r="K252">
        <v>6525.07</v>
      </c>
      <c r="L252">
        <v>7503.83</v>
      </c>
      <c r="M252" t="s">
        <v>1608</v>
      </c>
      <c r="N252" t="s">
        <v>19</v>
      </c>
      <c r="O252" t="s">
        <v>19</v>
      </c>
      <c r="P252" t="s">
        <v>1609</v>
      </c>
      <c r="Q252">
        <v>1</v>
      </c>
      <c r="R252" t="s">
        <v>3877</v>
      </c>
    </row>
    <row r="253" spans="1:18" x14ac:dyDescent="0.2">
      <c r="A253" t="s">
        <v>1615</v>
      </c>
      <c r="B253" t="s">
        <v>850</v>
      </c>
      <c r="C253" t="s">
        <v>14</v>
      </c>
      <c r="D253" t="s">
        <v>14</v>
      </c>
      <c r="E253" t="s">
        <v>1616</v>
      </c>
      <c r="F253" t="s">
        <v>1228</v>
      </c>
      <c r="G253" t="s">
        <v>1554</v>
      </c>
      <c r="H253" t="s">
        <v>3872</v>
      </c>
      <c r="I253" t="s">
        <v>1617</v>
      </c>
      <c r="J253">
        <v>14010</v>
      </c>
      <c r="K253">
        <v>4009.66</v>
      </c>
      <c r="L253">
        <v>4611.1099999999997</v>
      </c>
      <c r="M253" t="s">
        <v>1613</v>
      </c>
      <c r="N253" t="s">
        <v>19</v>
      </c>
      <c r="O253" t="s">
        <v>19</v>
      </c>
      <c r="P253" t="s">
        <v>1614</v>
      </c>
      <c r="Q253">
        <v>1</v>
      </c>
      <c r="R253" t="s">
        <v>3878</v>
      </c>
    </row>
    <row r="254" spans="1:18" x14ac:dyDescent="0.2">
      <c r="A254" t="s">
        <v>1620</v>
      </c>
      <c r="B254" t="s">
        <v>49</v>
      </c>
      <c r="C254" t="s">
        <v>51</v>
      </c>
      <c r="D254" t="s">
        <v>51</v>
      </c>
      <c r="E254" t="s">
        <v>1621</v>
      </c>
      <c r="F254" t="s">
        <v>1580</v>
      </c>
      <c r="G254" t="s">
        <v>1581</v>
      </c>
      <c r="H254" t="s">
        <v>3872</v>
      </c>
      <c r="I254" t="s">
        <v>1622</v>
      </c>
      <c r="J254">
        <v>2035.29</v>
      </c>
      <c r="K254">
        <v>14010</v>
      </c>
      <c r="L254">
        <v>16111.5</v>
      </c>
      <c r="M254" t="s">
        <v>1618</v>
      </c>
      <c r="N254" t="s">
        <v>19</v>
      </c>
      <c r="O254" t="s">
        <v>19</v>
      </c>
      <c r="P254" t="s">
        <v>1619</v>
      </c>
      <c r="Q254">
        <v>1</v>
      </c>
      <c r="R254" t="s">
        <v>3877</v>
      </c>
    </row>
    <row r="255" spans="1:18" x14ac:dyDescent="0.2">
      <c r="A255" t="s">
        <v>1625</v>
      </c>
      <c r="B255" t="s">
        <v>330</v>
      </c>
      <c r="C255" t="s">
        <v>467</v>
      </c>
      <c r="D255" t="s">
        <v>467</v>
      </c>
      <c r="E255" t="s">
        <v>1626</v>
      </c>
      <c r="F255" t="s">
        <v>1580</v>
      </c>
      <c r="G255" t="s">
        <v>1581</v>
      </c>
      <c r="H255" t="s">
        <v>3872</v>
      </c>
      <c r="I255" t="s">
        <v>1627</v>
      </c>
      <c r="J255">
        <v>14279.45</v>
      </c>
      <c r="K255">
        <v>2035.29</v>
      </c>
      <c r="L255">
        <v>2340.58</v>
      </c>
      <c r="M255" t="s">
        <v>1623</v>
      </c>
      <c r="N255" t="s">
        <v>19</v>
      </c>
      <c r="O255" t="s">
        <v>19</v>
      </c>
      <c r="P255" t="s">
        <v>1624</v>
      </c>
      <c r="Q255">
        <v>5</v>
      </c>
      <c r="R255" t="s">
        <v>3876</v>
      </c>
    </row>
    <row r="256" spans="1:18" x14ac:dyDescent="0.2">
      <c r="A256" t="s">
        <v>1630</v>
      </c>
      <c r="B256" t="s">
        <v>850</v>
      </c>
      <c r="C256" t="s">
        <v>851</v>
      </c>
      <c r="D256" t="s">
        <v>851</v>
      </c>
      <c r="E256" t="s">
        <v>1631</v>
      </c>
      <c r="F256" t="s">
        <v>1632</v>
      </c>
      <c r="G256" t="s">
        <v>1633</v>
      </c>
      <c r="H256" t="s">
        <v>3872</v>
      </c>
      <c r="I256" t="s">
        <v>1634</v>
      </c>
      <c r="J256">
        <v>2035.29</v>
      </c>
      <c r="K256">
        <v>14279.45</v>
      </c>
      <c r="L256">
        <v>16421.349999999999</v>
      </c>
      <c r="M256" t="s">
        <v>1628</v>
      </c>
      <c r="N256" t="s">
        <v>19</v>
      </c>
      <c r="O256" t="s">
        <v>19</v>
      </c>
      <c r="P256" t="s">
        <v>1629</v>
      </c>
      <c r="Q256">
        <v>1</v>
      </c>
      <c r="R256" t="s">
        <v>3877</v>
      </c>
    </row>
    <row r="257" spans="1:18" x14ac:dyDescent="0.2">
      <c r="A257" t="s">
        <v>1637</v>
      </c>
      <c r="B257" t="s">
        <v>1037</v>
      </c>
      <c r="C257" t="s">
        <v>1605</v>
      </c>
      <c r="D257" t="s">
        <v>1605</v>
      </c>
      <c r="E257" t="s">
        <v>1638</v>
      </c>
      <c r="F257" t="s">
        <v>1548</v>
      </c>
      <c r="G257" t="s">
        <v>1639</v>
      </c>
      <c r="H257" s="2" t="s">
        <v>3871</v>
      </c>
      <c r="I257" t="s">
        <v>1640</v>
      </c>
      <c r="J257">
        <v>3312.54</v>
      </c>
      <c r="K257">
        <v>2035.29</v>
      </c>
      <c r="L257">
        <v>2340.58</v>
      </c>
      <c r="M257" t="s">
        <v>1635</v>
      </c>
      <c r="N257" t="s">
        <v>19</v>
      </c>
      <c r="O257" t="s">
        <v>19</v>
      </c>
      <c r="P257" t="s">
        <v>1636</v>
      </c>
      <c r="Q257">
        <v>1</v>
      </c>
      <c r="R257" t="s">
        <v>3877</v>
      </c>
    </row>
    <row r="258" spans="1:18" x14ac:dyDescent="0.2">
      <c r="A258" t="s">
        <v>1643</v>
      </c>
      <c r="B258" t="s">
        <v>921</v>
      </c>
      <c r="C258" t="s">
        <v>759</v>
      </c>
      <c r="D258" t="s">
        <v>1421</v>
      </c>
      <c r="E258" t="s">
        <v>1644</v>
      </c>
      <c r="F258" t="s">
        <v>1548</v>
      </c>
      <c r="G258" t="s">
        <v>1645</v>
      </c>
      <c r="H258" s="2" t="s">
        <v>3871</v>
      </c>
      <c r="I258" t="s">
        <v>1646</v>
      </c>
      <c r="J258">
        <v>1174200</v>
      </c>
      <c r="K258">
        <v>3312.54</v>
      </c>
      <c r="L258">
        <v>3809.42</v>
      </c>
      <c r="M258" t="s">
        <v>1641</v>
      </c>
      <c r="N258" t="s">
        <v>19</v>
      </c>
      <c r="O258" t="s">
        <v>19</v>
      </c>
      <c r="P258" t="s">
        <v>1642</v>
      </c>
      <c r="Q258">
        <v>618</v>
      </c>
      <c r="R258" t="s">
        <v>3876</v>
      </c>
    </row>
    <row r="259" spans="1:18" x14ac:dyDescent="0.2">
      <c r="A259" t="s">
        <v>1649</v>
      </c>
      <c r="B259" t="s">
        <v>1650</v>
      </c>
      <c r="C259" t="s">
        <v>14</v>
      </c>
      <c r="D259" t="s">
        <v>14</v>
      </c>
      <c r="E259" t="s">
        <v>1651</v>
      </c>
      <c r="F259" t="s">
        <v>1652</v>
      </c>
      <c r="G259" t="s">
        <v>1653</v>
      </c>
      <c r="H259" s="2" t="s">
        <v>3871</v>
      </c>
      <c r="I259" t="s">
        <v>1654</v>
      </c>
      <c r="J259">
        <v>384.55</v>
      </c>
      <c r="K259">
        <v>1174200</v>
      </c>
      <c r="L259">
        <v>1350330</v>
      </c>
      <c r="M259" t="s">
        <v>1647</v>
      </c>
      <c r="N259" t="s">
        <v>19</v>
      </c>
      <c r="O259" t="s">
        <v>19</v>
      </c>
      <c r="P259" t="s">
        <v>1648</v>
      </c>
      <c r="Q259">
        <v>0</v>
      </c>
      <c r="R259" t="s">
        <v>3877</v>
      </c>
    </row>
    <row r="260" spans="1:18" x14ac:dyDescent="0.2">
      <c r="A260" t="s">
        <v>1657</v>
      </c>
      <c r="B260" t="s">
        <v>1658</v>
      </c>
      <c r="C260" t="s">
        <v>121</v>
      </c>
      <c r="D260" t="s">
        <v>168</v>
      </c>
      <c r="E260" t="s">
        <v>1660</v>
      </c>
      <c r="F260" t="s">
        <v>1632</v>
      </c>
      <c r="G260" t="s">
        <v>1653</v>
      </c>
      <c r="H260" t="s">
        <v>3872</v>
      </c>
      <c r="I260" t="s">
        <v>1661</v>
      </c>
      <c r="J260">
        <v>2248.1</v>
      </c>
      <c r="K260">
        <v>384.55</v>
      </c>
      <c r="L260">
        <v>442.23</v>
      </c>
      <c r="M260" t="s">
        <v>1655</v>
      </c>
      <c r="N260" t="s">
        <v>19</v>
      </c>
      <c r="O260" t="s">
        <v>19</v>
      </c>
      <c r="P260" t="s">
        <v>1656</v>
      </c>
      <c r="Q260">
        <v>1</v>
      </c>
      <c r="R260" t="s">
        <v>3877</v>
      </c>
    </row>
    <row r="261" spans="1:18" x14ac:dyDescent="0.2">
      <c r="A261" t="s">
        <v>1664</v>
      </c>
      <c r="B261" t="s">
        <v>1237</v>
      </c>
      <c r="C261" t="s">
        <v>1238</v>
      </c>
      <c r="D261" t="s">
        <v>1238</v>
      </c>
      <c r="E261" t="s">
        <v>1665</v>
      </c>
      <c r="F261" t="s">
        <v>1652</v>
      </c>
      <c r="G261" t="s">
        <v>1653</v>
      </c>
      <c r="H261" t="s">
        <v>3872</v>
      </c>
      <c r="I261" t="s">
        <v>1666</v>
      </c>
      <c r="J261">
        <v>3980.58</v>
      </c>
      <c r="K261">
        <v>2248.1</v>
      </c>
      <c r="L261">
        <v>2585.3200000000002</v>
      </c>
      <c r="M261" t="s">
        <v>1662</v>
      </c>
      <c r="N261" t="s">
        <v>19</v>
      </c>
      <c r="O261" t="s">
        <v>19</v>
      </c>
      <c r="P261" t="s">
        <v>1663</v>
      </c>
      <c r="Q261">
        <v>2</v>
      </c>
      <c r="R261" t="s">
        <v>3877</v>
      </c>
    </row>
    <row r="262" spans="1:18" x14ac:dyDescent="0.2">
      <c r="A262" t="s">
        <v>1669</v>
      </c>
      <c r="B262" t="s">
        <v>49</v>
      </c>
      <c r="C262" t="s">
        <v>51</v>
      </c>
      <c r="D262" t="s">
        <v>51</v>
      </c>
      <c r="E262" t="s">
        <v>1670</v>
      </c>
      <c r="F262" t="s">
        <v>1632</v>
      </c>
      <c r="G262" t="s">
        <v>1633</v>
      </c>
      <c r="H262" t="s">
        <v>3872</v>
      </c>
      <c r="I262" t="s">
        <v>1671</v>
      </c>
      <c r="J262">
        <v>1945.29</v>
      </c>
      <c r="K262">
        <v>3980.58</v>
      </c>
      <c r="L262">
        <v>4577.66</v>
      </c>
      <c r="M262" t="s">
        <v>1667</v>
      </c>
      <c r="N262" t="s">
        <v>19</v>
      </c>
      <c r="O262" t="s">
        <v>19</v>
      </c>
      <c r="P262" t="s">
        <v>1668</v>
      </c>
      <c r="Q262">
        <v>1</v>
      </c>
      <c r="R262" t="s">
        <v>3877</v>
      </c>
    </row>
    <row r="263" spans="1:18" x14ac:dyDescent="0.2">
      <c r="A263" t="s">
        <v>1674</v>
      </c>
      <c r="B263" t="s">
        <v>1650</v>
      </c>
      <c r="C263" t="s">
        <v>14</v>
      </c>
      <c r="D263" t="s">
        <v>14</v>
      </c>
      <c r="E263" t="s">
        <v>1675</v>
      </c>
      <c r="F263" t="s">
        <v>1632</v>
      </c>
      <c r="G263" t="s">
        <v>1633</v>
      </c>
      <c r="H263" s="2" t="s">
        <v>3871</v>
      </c>
      <c r="I263" t="s">
        <v>1676</v>
      </c>
      <c r="J263">
        <v>7442.41</v>
      </c>
      <c r="K263">
        <v>1945.29</v>
      </c>
      <c r="L263">
        <v>2237.08</v>
      </c>
      <c r="M263" t="s">
        <v>1672</v>
      </c>
      <c r="N263" t="s">
        <v>19</v>
      </c>
      <c r="O263" t="s">
        <v>19</v>
      </c>
      <c r="P263" t="s">
        <v>1673</v>
      </c>
      <c r="Q263">
        <v>2</v>
      </c>
      <c r="R263" t="s">
        <v>3877</v>
      </c>
    </row>
    <row r="264" spans="1:18" x14ac:dyDescent="0.2">
      <c r="A264" t="s">
        <v>1679</v>
      </c>
      <c r="B264" t="s">
        <v>1680</v>
      </c>
      <c r="C264" t="s">
        <v>1681</v>
      </c>
      <c r="D264" t="s">
        <v>1681</v>
      </c>
      <c r="E264" t="s">
        <v>1682</v>
      </c>
      <c r="F264" t="s">
        <v>1683</v>
      </c>
      <c r="G264" t="s">
        <v>1684</v>
      </c>
      <c r="H264" t="s">
        <v>3872</v>
      </c>
      <c r="I264" t="s">
        <v>1685</v>
      </c>
      <c r="J264">
        <v>6654.29</v>
      </c>
      <c r="K264">
        <v>7442.41</v>
      </c>
      <c r="L264">
        <v>8558.77</v>
      </c>
      <c r="M264" t="s">
        <v>1677</v>
      </c>
      <c r="N264" t="s">
        <v>19</v>
      </c>
      <c r="O264" t="s">
        <v>19</v>
      </c>
      <c r="P264" t="s">
        <v>1678</v>
      </c>
      <c r="Q264">
        <v>1</v>
      </c>
      <c r="R264" t="s">
        <v>3876</v>
      </c>
    </row>
    <row r="265" spans="1:18" x14ac:dyDescent="0.2">
      <c r="A265" t="s">
        <v>1688</v>
      </c>
      <c r="B265" t="s">
        <v>119</v>
      </c>
      <c r="C265" t="s">
        <v>1258</v>
      </c>
      <c r="D265" t="s">
        <v>1451</v>
      </c>
      <c r="E265" t="s">
        <v>220</v>
      </c>
      <c r="F265" t="s">
        <v>1683</v>
      </c>
      <c r="G265" t="s">
        <v>1684</v>
      </c>
      <c r="H265" s="2" t="s">
        <v>3871</v>
      </c>
      <c r="I265" t="s">
        <v>1689</v>
      </c>
      <c r="J265">
        <v>3224.69</v>
      </c>
      <c r="K265">
        <v>6654.29</v>
      </c>
      <c r="L265">
        <v>7652.43</v>
      </c>
      <c r="M265" t="s">
        <v>1686</v>
      </c>
      <c r="N265" t="s">
        <v>19</v>
      </c>
      <c r="O265" t="s">
        <v>772</v>
      </c>
      <c r="P265" t="s">
        <v>1687</v>
      </c>
      <c r="Q265">
        <v>1</v>
      </c>
      <c r="R265" t="s">
        <v>3877</v>
      </c>
    </row>
    <row r="266" spans="1:18" x14ac:dyDescent="0.2">
      <c r="A266" t="s">
        <v>1692</v>
      </c>
      <c r="B266" t="s">
        <v>1466</v>
      </c>
      <c r="C266" t="s">
        <v>1467</v>
      </c>
      <c r="D266" t="s">
        <v>168</v>
      </c>
      <c r="E266" t="s">
        <v>1693</v>
      </c>
      <c r="F266" t="s">
        <v>1683</v>
      </c>
      <c r="G266" t="s">
        <v>1684</v>
      </c>
      <c r="H266" t="s">
        <v>3872</v>
      </c>
      <c r="I266" t="s">
        <v>1694</v>
      </c>
      <c r="J266">
        <v>19019</v>
      </c>
      <c r="K266">
        <v>3224.69</v>
      </c>
      <c r="L266">
        <v>3708.39</v>
      </c>
      <c r="M266" t="s">
        <v>1690</v>
      </c>
      <c r="N266" t="s">
        <v>19</v>
      </c>
      <c r="O266" t="s">
        <v>18</v>
      </c>
      <c r="P266" t="s">
        <v>1691</v>
      </c>
      <c r="Q266">
        <v>1</v>
      </c>
      <c r="R266" t="s">
        <v>3876</v>
      </c>
    </row>
    <row r="267" spans="1:18" x14ac:dyDescent="0.2">
      <c r="A267" t="s">
        <v>1697</v>
      </c>
      <c r="B267" t="s">
        <v>1698</v>
      </c>
      <c r="C267" t="s">
        <v>1699</v>
      </c>
      <c r="D267" t="s">
        <v>1699</v>
      </c>
      <c r="E267" t="s">
        <v>1700</v>
      </c>
      <c r="F267" t="s">
        <v>1683</v>
      </c>
      <c r="G267" t="s">
        <v>1684</v>
      </c>
      <c r="H267" t="s">
        <v>3872</v>
      </c>
      <c r="I267" t="s">
        <v>1701</v>
      </c>
      <c r="J267">
        <v>2407.5</v>
      </c>
      <c r="K267">
        <v>19019</v>
      </c>
      <c r="L267">
        <v>21871.85</v>
      </c>
      <c r="M267" t="s">
        <v>1695</v>
      </c>
      <c r="N267" t="s">
        <v>19</v>
      </c>
      <c r="O267" t="s">
        <v>19</v>
      </c>
      <c r="P267" t="s">
        <v>1696</v>
      </c>
      <c r="Q267">
        <v>0</v>
      </c>
      <c r="R267" t="s">
        <v>3876</v>
      </c>
    </row>
    <row r="268" spans="1:18" x14ac:dyDescent="0.2">
      <c r="A268" t="s">
        <v>1704</v>
      </c>
      <c r="B268" t="s">
        <v>1698</v>
      </c>
      <c r="C268" t="s">
        <v>1699</v>
      </c>
      <c r="D268" t="s">
        <v>1699</v>
      </c>
      <c r="E268" t="s">
        <v>1705</v>
      </c>
      <c r="F268" t="s">
        <v>1683</v>
      </c>
      <c r="G268" t="s">
        <v>1684</v>
      </c>
      <c r="H268" t="s">
        <v>3872</v>
      </c>
      <c r="I268" t="s">
        <v>1706</v>
      </c>
      <c r="J268">
        <v>1717.5</v>
      </c>
      <c r="K268">
        <v>2407.5</v>
      </c>
      <c r="L268">
        <v>2768.63</v>
      </c>
      <c r="M268" t="s">
        <v>1702</v>
      </c>
      <c r="N268" t="s">
        <v>19</v>
      </c>
      <c r="O268" t="s">
        <v>19</v>
      </c>
      <c r="P268" t="s">
        <v>1703</v>
      </c>
      <c r="Q268">
        <v>0</v>
      </c>
      <c r="R268" t="s">
        <v>3876</v>
      </c>
    </row>
    <row r="269" spans="1:18" x14ac:dyDescent="0.2">
      <c r="A269" t="s">
        <v>1709</v>
      </c>
      <c r="B269" t="s">
        <v>1710</v>
      </c>
      <c r="C269" t="s">
        <v>759</v>
      </c>
      <c r="D269" t="s">
        <v>160</v>
      </c>
      <c r="E269" t="s">
        <v>1711</v>
      </c>
      <c r="F269" t="s">
        <v>1712</v>
      </c>
      <c r="G269" t="s">
        <v>1713</v>
      </c>
      <c r="H269" t="s">
        <v>3872</v>
      </c>
      <c r="I269" t="s">
        <v>1714</v>
      </c>
      <c r="J269">
        <v>13841.93</v>
      </c>
      <c r="K269">
        <v>1717.5</v>
      </c>
      <c r="L269">
        <v>1975.13</v>
      </c>
      <c r="M269" t="s">
        <v>1707</v>
      </c>
      <c r="N269" t="s">
        <v>19</v>
      </c>
      <c r="O269" t="s">
        <v>19</v>
      </c>
      <c r="P269" t="s">
        <v>1708</v>
      </c>
      <c r="Q269">
        <v>1</v>
      </c>
      <c r="R269" t="s">
        <v>3877</v>
      </c>
    </row>
    <row r="270" spans="1:18" x14ac:dyDescent="0.2">
      <c r="A270" t="s">
        <v>1717</v>
      </c>
      <c r="B270" t="s">
        <v>1458</v>
      </c>
      <c r="C270" t="s">
        <v>1718</v>
      </c>
      <c r="D270" t="s">
        <v>1718</v>
      </c>
      <c r="E270" t="s">
        <v>1112</v>
      </c>
      <c r="F270" t="s">
        <v>1712</v>
      </c>
      <c r="G270" t="s">
        <v>1713</v>
      </c>
      <c r="H270" t="s">
        <v>3872</v>
      </c>
      <c r="I270" t="s">
        <v>1459</v>
      </c>
      <c r="J270">
        <v>28182.12</v>
      </c>
      <c r="K270">
        <v>13841.93</v>
      </c>
      <c r="L270">
        <v>15918.23</v>
      </c>
      <c r="M270" t="s">
        <v>1715</v>
      </c>
      <c r="N270" t="s">
        <v>19</v>
      </c>
      <c r="O270" t="s">
        <v>19</v>
      </c>
      <c r="P270" t="s">
        <v>1716</v>
      </c>
      <c r="Q270">
        <v>5</v>
      </c>
      <c r="R270" t="s">
        <v>3876</v>
      </c>
    </row>
    <row r="271" spans="1:18" x14ac:dyDescent="0.2">
      <c r="A271" t="s">
        <v>1721</v>
      </c>
      <c r="B271" t="s">
        <v>1722</v>
      </c>
      <c r="C271" t="s">
        <v>1723</v>
      </c>
      <c r="D271" t="s">
        <v>1723</v>
      </c>
      <c r="E271" t="s">
        <v>1724</v>
      </c>
      <c r="F271" t="s">
        <v>1725</v>
      </c>
      <c r="G271" t="s">
        <v>1726</v>
      </c>
      <c r="H271" t="s">
        <v>3872</v>
      </c>
      <c r="I271" t="s">
        <v>1727</v>
      </c>
      <c r="J271">
        <v>6867.1</v>
      </c>
      <c r="K271">
        <v>28182.12</v>
      </c>
      <c r="L271">
        <v>32409.439999999999</v>
      </c>
      <c r="M271" t="s">
        <v>1719</v>
      </c>
      <c r="N271" t="s">
        <v>19</v>
      </c>
      <c r="O271" t="s">
        <v>19</v>
      </c>
      <c r="P271" t="s">
        <v>1720</v>
      </c>
      <c r="Q271">
        <v>1</v>
      </c>
      <c r="R271" t="s">
        <v>3876</v>
      </c>
    </row>
    <row r="272" spans="1:18" x14ac:dyDescent="0.2">
      <c r="A272" t="s">
        <v>1730</v>
      </c>
      <c r="B272" t="s">
        <v>245</v>
      </c>
      <c r="C272" t="s">
        <v>558</v>
      </c>
      <c r="D272" t="s">
        <v>559</v>
      </c>
      <c r="E272" t="s">
        <v>1731</v>
      </c>
      <c r="F272" t="s">
        <v>1732</v>
      </c>
      <c r="G272" t="s">
        <v>1733</v>
      </c>
      <c r="H272" t="s">
        <v>3872</v>
      </c>
      <c r="I272" t="s">
        <v>246</v>
      </c>
      <c r="J272">
        <v>534.05999999999995</v>
      </c>
      <c r="K272">
        <v>6867.1</v>
      </c>
      <c r="L272">
        <v>7897.17</v>
      </c>
      <c r="M272" t="s">
        <v>1728</v>
      </c>
      <c r="N272" t="s">
        <v>19</v>
      </c>
      <c r="O272" t="s">
        <v>19</v>
      </c>
      <c r="P272" t="s">
        <v>1729</v>
      </c>
      <c r="Q272">
        <v>0</v>
      </c>
      <c r="R272" t="s">
        <v>3876</v>
      </c>
    </row>
    <row r="273" spans="1:18" x14ac:dyDescent="0.2">
      <c r="A273" t="s">
        <v>1736</v>
      </c>
      <c r="B273" t="s">
        <v>1737</v>
      </c>
      <c r="C273" t="s">
        <v>113</v>
      </c>
      <c r="D273" t="s">
        <v>1738</v>
      </c>
      <c r="E273" t="s">
        <v>1739</v>
      </c>
      <c r="F273" t="s">
        <v>1740</v>
      </c>
      <c r="G273" t="s">
        <v>1498</v>
      </c>
      <c r="H273" s="2" t="s">
        <v>3871</v>
      </c>
      <c r="I273" t="s">
        <v>1741</v>
      </c>
      <c r="J273">
        <v>3312.54</v>
      </c>
      <c r="K273">
        <v>534.05999999999995</v>
      </c>
      <c r="L273">
        <v>614.16999999999996</v>
      </c>
      <c r="M273" t="s">
        <v>1734</v>
      </c>
      <c r="N273" t="s">
        <v>19</v>
      </c>
      <c r="O273" t="s">
        <v>19</v>
      </c>
      <c r="P273" t="s">
        <v>1735</v>
      </c>
      <c r="Q273">
        <v>1</v>
      </c>
      <c r="R273" t="s">
        <v>3877</v>
      </c>
    </row>
    <row r="274" spans="1:18" x14ac:dyDescent="0.2">
      <c r="A274" t="s">
        <v>1744</v>
      </c>
      <c r="B274" t="s">
        <v>1745</v>
      </c>
      <c r="C274" t="s">
        <v>1746</v>
      </c>
      <c r="D274" t="s">
        <v>1746</v>
      </c>
      <c r="E274" t="s">
        <v>1747</v>
      </c>
      <c r="F274" t="s">
        <v>1725</v>
      </c>
      <c r="G274" t="s">
        <v>1726</v>
      </c>
      <c r="H274" t="s">
        <v>3872</v>
      </c>
      <c r="I274" t="s">
        <v>1748</v>
      </c>
      <c r="J274">
        <v>43427</v>
      </c>
      <c r="K274">
        <v>3312.54</v>
      </c>
      <c r="L274">
        <v>3809.42</v>
      </c>
      <c r="M274" t="s">
        <v>1742</v>
      </c>
      <c r="N274" t="s">
        <v>19</v>
      </c>
      <c r="O274" t="s">
        <v>19</v>
      </c>
      <c r="P274" t="s">
        <v>1743</v>
      </c>
      <c r="Q274">
        <v>2</v>
      </c>
      <c r="R274" t="s">
        <v>3876</v>
      </c>
    </row>
    <row r="275" spans="1:18" x14ac:dyDescent="0.2">
      <c r="A275" t="s">
        <v>1751</v>
      </c>
      <c r="B275" t="s">
        <v>1752</v>
      </c>
      <c r="C275" t="s">
        <v>14</v>
      </c>
      <c r="D275" t="s">
        <v>14</v>
      </c>
      <c r="E275" t="s">
        <v>1753</v>
      </c>
      <c r="F275" t="s">
        <v>1740</v>
      </c>
      <c r="G275" t="s">
        <v>1498</v>
      </c>
      <c r="H275" s="2" t="s">
        <v>3871</v>
      </c>
      <c r="I275" t="s">
        <v>1754</v>
      </c>
      <c r="J275">
        <v>44029.440000000002</v>
      </c>
      <c r="K275">
        <v>43427</v>
      </c>
      <c r="L275">
        <v>49941.05</v>
      </c>
      <c r="M275" t="s">
        <v>1749</v>
      </c>
      <c r="N275" t="s">
        <v>19</v>
      </c>
      <c r="O275" t="s">
        <v>19</v>
      </c>
      <c r="P275" t="s">
        <v>1750</v>
      </c>
      <c r="Q275">
        <v>1</v>
      </c>
      <c r="R275" t="s">
        <v>3876</v>
      </c>
    </row>
    <row r="276" spans="1:18" x14ac:dyDescent="0.2">
      <c r="A276" t="s">
        <v>1757</v>
      </c>
      <c r="B276" t="s">
        <v>1758</v>
      </c>
      <c r="C276" t="s">
        <v>767</v>
      </c>
      <c r="D276" t="s">
        <v>1759</v>
      </c>
      <c r="E276" t="s">
        <v>1760</v>
      </c>
      <c r="F276" t="s">
        <v>1740</v>
      </c>
      <c r="G276" t="s">
        <v>1498</v>
      </c>
      <c r="H276" s="2" t="s">
        <v>3871</v>
      </c>
      <c r="I276" t="s">
        <v>1761</v>
      </c>
      <c r="J276">
        <v>5626.66</v>
      </c>
      <c r="K276">
        <v>44029.440000000002</v>
      </c>
      <c r="L276">
        <v>50633.86</v>
      </c>
      <c r="M276" t="s">
        <v>1755</v>
      </c>
      <c r="N276" t="s">
        <v>19</v>
      </c>
      <c r="O276" t="s">
        <v>19</v>
      </c>
      <c r="P276" t="s">
        <v>1756</v>
      </c>
      <c r="Q276">
        <v>3</v>
      </c>
      <c r="R276" t="s">
        <v>3876</v>
      </c>
    </row>
    <row r="277" spans="1:18" x14ac:dyDescent="0.2">
      <c r="A277" t="s">
        <v>1764</v>
      </c>
      <c r="B277" t="s">
        <v>1758</v>
      </c>
      <c r="C277" t="s">
        <v>767</v>
      </c>
      <c r="D277" t="s">
        <v>1759</v>
      </c>
      <c r="E277" t="s">
        <v>1765</v>
      </c>
      <c r="F277" t="s">
        <v>1740</v>
      </c>
      <c r="G277" t="s">
        <v>1498</v>
      </c>
      <c r="H277" s="2" t="s">
        <v>3871</v>
      </c>
      <c r="I277" t="s">
        <v>1766</v>
      </c>
      <c r="J277">
        <v>8619.66</v>
      </c>
      <c r="K277">
        <v>5626.66</v>
      </c>
      <c r="L277">
        <v>6470.66</v>
      </c>
      <c r="M277" t="s">
        <v>1762</v>
      </c>
      <c r="N277" t="s">
        <v>19</v>
      </c>
      <c r="O277" t="s">
        <v>19</v>
      </c>
      <c r="P277" t="s">
        <v>1763</v>
      </c>
      <c r="Q277">
        <v>3</v>
      </c>
      <c r="R277" t="s">
        <v>3877</v>
      </c>
    </row>
    <row r="278" spans="1:18" x14ac:dyDescent="0.2">
      <c r="A278" t="s">
        <v>1769</v>
      </c>
      <c r="B278" t="s">
        <v>302</v>
      </c>
      <c r="C278" t="s">
        <v>121</v>
      </c>
      <c r="D278" t="s">
        <v>305</v>
      </c>
      <c r="E278" t="s">
        <v>1770</v>
      </c>
      <c r="F278" t="s">
        <v>1740</v>
      </c>
      <c r="G278" t="s">
        <v>1498</v>
      </c>
      <c r="H278" t="s">
        <v>3872</v>
      </c>
      <c r="I278" t="s">
        <v>1771</v>
      </c>
      <c r="J278">
        <v>6654.29</v>
      </c>
      <c r="K278">
        <v>8619.66</v>
      </c>
      <c r="L278">
        <v>9912.61</v>
      </c>
      <c r="M278" t="s">
        <v>1767</v>
      </c>
      <c r="N278" t="s">
        <v>19</v>
      </c>
      <c r="O278" t="s">
        <v>18</v>
      </c>
      <c r="P278" t="s">
        <v>1768</v>
      </c>
      <c r="Q278">
        <v>1</v>
      </c>
      <c r="R278" t="s">
        <v>3877</v>
      </c>
    </row>
    <row r="279" spans="1:18" x14ac:dyDescent="0.2">
      <c r="A279" t="s">
        <v>1774</v>
      </c>
      <c r="B279" t="s">
        <v>245</v>
      </c>
      <c r="C279" t="s">
        <v>558</v>
      </c>
      <c r="D279" t="s">
        <v>559</v>
      </c>
      <c r="E279" t="s">
        <v>1775</v>
      </c>
      <c r="F279" t="s">
        <v>1725</v>
      </c>
      <c r="G279" t="s">
        <v>1726</v>
      </c>
      <c r="H279" t="s">
        <v>3872</v>
      </c>
      <c r="I279" t="s">
        <v>1776</v>
      </c>
      <c r="J279">
        <v>2596.5</v>
      </c>
      <c r="K279">
        <v>6654.29</v>
      </c>
      <c r="L279">
        <v>7652.43</v>
      </c>
      <c r="M279" t="s">
        <v>1772</v>
      </c>
      <c r="N279" t="s">
        <v>19</v>
      </c>
      <c r="O279" t="s">
        <v>18</v>
      </c>
      <c r="P279" t="s">
        <v>1773</v>
      </c>
      <c r="Q279">
        <v>0</v>
      </c>
      <c r="R279" t="s">
        <v>3877</v>
      </c>
    </row>
    <row r="280" spans="1:18" x14ac:dyDescent="0.2">
      <c r="A280" t="s">
        <v>1779</v>
      </c>
      <c r="B280" t="s">
        <v>1780</v>
      </c>
      <c r="C280" t="s">
        <v>1781</v>
      </c>
      <c r="D280" t="s">
        <v>168</v>
      </c>
      <c r="E280" t="s">
        <v>1782</v>
      </c>
      <c r="F280" t="s">
        <v>1783</v>
      </c>
      <c r="G280" t="s">
        <v>1784</v>
      </c>
      <c r="H280" t="s">
        <v>3872</v>
      </c>
      <c r="I280" t="s">
        <v>1785</v>
      </c>
      <c r="J280">
        <v>2632.94</v>
      </c>
      <c r="K280">
        <v>2596.5</v>
      </c>
      <c r="L280">
        <v>2985.98</v>
      </c>
      <c r="M280" t="s">
        <v>1777</v>
      </c>
      <c r="N280" t="s">
        <v>19</v>
      </c>
      <c r="O280" t="s">
        <v>19</v>
      </c>
      <c r="P280" t="s">
        <v>1778</v>
      </c>
      <c r="Q280">
        <v>1</v>
      </c>
      <c r="R280" t="s">
        <v>3877</v>
      </c>
    </row>
    <row r="281" spans="1:18" x14ac:dyDescent="0.2">
      <c r="A281" t="s">
        <v>1788</v>
      </c>
      <c r="B281" t="s">
        <v>1758</v>
      </c>
      <c r="C281" t="s">
        <v>767</v>
      </c>
      <c r="D281" t="s">
        <v>1759</v>
      </c>
      <c r="E281" t="s">
        <v>1760</v>
      </c>
      <c r="F281" t="s">
        <v>1725</v>
      </c>
      <c r="G281" t="s">
        <v>1726</v>
      </c>
      <c r="H281" s="2" t="s">
        <v>3871</v>
      </c>
      <c r="I281" t="s">
        <v>1789</v>
      </c>
      <c r="J281">
        <v>33937.5</v>
      </c>
      <c r="K281">
        <v>2632.94</v>
      </c>
      <c r="L281">
        <v>3027.88</v>
      </c>
      <c r="M281" t="s">
        <v>1786</v>
      </c>
      <c r="N281" t="s">
        <v>19</v>
      </c>
      <c r="O281" t="s">
        <v>18</v>
      </c>
      <c r="P281" t="s">
        <v>1787</v>
      </c>
      <c r="Q281">
        <v>2</v>
      </c>
      <c r="R281" t="s">
        <v>3876</v>
      </c>
    </row>
    <row r="282" spans="1:18" x14ac:dyDescent="0.2">
      <c r="A282" t="s">
        <v>1792</v>
      </c>
      <c r="B282" t="s">
        <v>620</v>
      </c>
      <c r="C282" t="s">
        <v>623</v>
      </c>
      <c r="D282" t="s">
        <v>623</v>
      </c>
      <c r="E282" t="s">
        <v>1793</v>
      </c>
      <c r="F282" t="s">
        <v>1725</v>
      </c>
      <c r="G282" t="s">
        <v>1726</v>
      </c>
      <c r="H282" t="s">
        <v>3872</v>
      </c>
      <c r="I282" t="s">
        <v>1794</v>
      </c>
      <c r="J282">
        <v>21177.11</v>
      </c>
      <c r="K282">
        <v>33937.5</v>
      </c>
      <c r="L282">
        <v>39028.129999999997</v>
      </c>
      <c r="M282" t="s">
        <v>1790</v>
      </c>
      <c r="N282" t="s">
        <v>19</v>
      </c>
      <c r="O282" t="s">
        <v>19</v>
      </c>
      <c r="P282" t="s">
        <v>1791</v>
      </c>
      <c r="Q282">
        <v>3</v>
      </c>
      <c r="R282" t="s">
        <v>3878</v>
      </c>
    </row>
    <row r="283" spans="1:18" x14ac:dyDescent="0.2">
      <c r="A283" t="s">
        <v>1797</v>
      </c>
      <c r="B283" t="s">
        <v>620</v>
      </c>
      <c r="C283" t="s">
        <v>84</v>
      </c>
      <c r="D283" t="s">
        <v>622</v>
      </c>
      <c r="E283" t="s">
        <v>1798</v>
      </c>
      <c r="F283" t="s">
        <v>1725</v>
      </c>
      <c r="G283" t="s">
        <v>1726</v>
      </c>
      <c r="H283" t="s">
        <v>3872</v>
      </c>
      <c r="I283" t="s">
        <v>1799</v>
      </c>
      <c r="J283">
        <v>22127.48</v>
      </c>
      <c r="K283">
        <v>21177.11</v>
      </c>
      <c r="L283">
        <v>24353.68</v>
      </c>
      <c r="M283" t="s">
        <v>1795</v>
      </c>
      <c r="N283" t="s">
        <v>19</v>
      </c>
      <c r="O283" t="s">
        <v>19</v>
      </c>
      <c r="P283" t="s">
        <v>1796</v>
      </c>
      <c r="Q283">
        <v>2</v>
      </c>
      <c r="R283" t="s">
        <v>3877</v>
      </c>
    </row>
    <row r="284" spans="1:18" x14ac:dyDescent="0.2">
      <c r="A284" t="s">
        <v>1802</v>
      </c>
      <c r="B284" t="s">
        <v>335</v>
      </c>
      <c r="C284" t="s">
        <v>14</v>
      </c>
      <c r="D284" t="s">
        <v>336</v>
      </c>
      <c r="E284" t="s">
        <v>1803</v>
      </c>
      <c r="F284" t="s">
        <v>1725</v>
      </c>
      <c r="G284" t="s">
        <v>1726</v>
      </c>
      <c r="H284" s="2" t="s">
        <v>3871</v>
      </c>
      <c r="I284" t="s">
        <v>1804</v>
      </c>
      <c r="J284">
        <v>118873.23</v>
      </c>
      <c r="K284">
        <v>22127.48</v>
      </c>
      <c r="L284">
        <v>25446.6</v>
      </c>
      <c r="M284" t="s">
        <v>1800</v>
      </c>
      <c r="N284" t="s">
        <v>19</v>
      </c>
      <c r="O284" t="s">
        <v>19</v>
      </c>
      <c r="P284" t="s">
        <v>1801</v>
      </c>
      <c r="Q284">
        <v>29</v>
      </c>
      <c r="R284" t="s">
        <v>3876</v>
      </c>
    </row>
    <row r="285" spans="1:18" x14ac:dyDescent="0.2">
      <c r="A285" t="s">
        <v>1807</v>
      </c>
      <c r="B285" t="s">
        <v>302</v>
      </c>
      <c r="C285" t="s">
        <v>121</v>
      </c>
      <c r="D285" t="s">
        <v>305</v>
      </c>
      <c r="E285" t="s">
        <v>1808</v>
      </c>
      <c r="F285" t="s">
        <v>1725</v>
      </c>
      <c r="G285" t="s">
        <v>1726</v>
      </c>
      <c r="H285" t="s">
        <v>3872</v>
      </c>
      <c r="I285" t="s">
        <v>1809</v>
      </c>
      <c r="J285">
        <v>2035.29</v>
      </c>
      <c r="K285">
        <v>118873.23</v>
      </c>
      <c r="L285">
        <v>136704.21</v>
      </c>
      <c r="M285" t="s">
        <v>1805</v>
      </c>
      <c r="N285" t="s">
        <v>19</v>
      </c>
      <c r="O285" t="s">
        <v>19</v>
      </c>
      <c r="P285" t="s">
        <v>1806</v>
      </c>
      <c r="Q285">
        <v>1</v>
      </c>
      <c r="R285" t="s">
        <v>3877</v>
      </c>
    </row>
    <row r="286" spans="1:18" x14ac:dyDescent="0.2">
      <c r="A286" t="s">
        <v>1812</v>
      </c>
      <c r="B286" t="s">
        <v>198</v>
      </c>
      <c r="C286" t="s">
        <v>1492</v>
      </c>
      <c r="D286" t="s">
        <v>1492</v>
      </c>
      <c r="E286" t="s">
        <v>1813</v>
      </c>
      <c r="F286" t="s">
        <v>1814</v>
      </c>
      <c r="G286" t="s">
        <v>1815</v>
      </c>
      <c r="H286" t="s">
        <v>3872</v>
      </c>
      <c r="I286" t="s">
        <v>1493</v>
      </c>
      <c r="J286">
        <v>31279.16</v>
      </c>
      <c r="K286">
        <v>2035.29</v>
      </c>
      <c r="L286">
        <v>2340.58</v>
      </c>
      <c r="M286" t="s">
        <v>1810</v>
      </c>
      <c r="N286" t="s">
        <v>19</v>
      </c>
      <c r="O286" t="s">
        <v>18</v>
      </c>
      <c r="P286" t="s">
        <v>1811</v>
      </c>
      <c r="Q286">
        <v>0</v>
      </c>
      <c r="R286" t="s">
        <v>3878</v>
      </c>
    </row>
    <row r="287" spans="1:18" x14ac:dyDescent="0.2">
      <c r="A287" t="s">
        <v>1818</v>
      </c>
      <c r="B287" t="s">
        <v>119</v>
      </c>
      <c r="C287" t="s">
        <v>1258</v>
      </c>
      <c r="D287" t="s">
        <v>1451</v>
      </c>
      <c r="E287" t="s">
        <v>1819</v>
      </c>
      <c r="F287" t="s">
        <v>1814</v>
      </c>
      <c r="G287" t="s">
        <v>1815</v>
      </c>
      <c r="H287" s="2" t="s">
        <v>3871</v>
      </c>
      <c r="I287" t="s">
        <v>1820</v>
      </c>
      <c r="J287">
        <v>5447.26</v>
      </c>
      <c r="K287">
        <v>31279.16</v>
      </c>
      <c r="L287">
        <v>35971.03</v>
      </c>
      <c r="M287" t="s">
        <v>1816</v>
      </c>
      <c r="N287" t="s">
        <v>19</v>
      </c>
      <c r="O287" t="s">
        <v>772</v>
      </c>
      <c r="P287" t="s">
        <v>1817</v>
      </c>
      <c r="Q287">
        <v>2</v>
      </c>
      <c r="R287" t="s">
        <v>3877</v>
      </c>
    </row>
    <row r="288" spans="1:18" x14ac:dyDescent="0.2">
      <c r="A288" t="s">
        <v>1823</v>
      </c>
      <c r="B288" t="s">
        <v>198</v>
      </c>
      <c r="C288" t="s">
        <v>14</v>
      </c>
      <c r="D288" t="s">
        <v>200</v>
      </c>
      <c r="E288" t="s">
        <v>1824</v>
      </c>
      <c r="F288" t="s">
        <v>1814</v>
      </c>
      <c r="G288" t="s">
        <v>1815</v>
      </c>
      <c r="H288" t="s">
        <v>3872</v>
      </c>
      <c r="I288" t="s">
        <v>199</v>
      </c>
      <c r="J288">
        <v>7111.85</v>
      </c>
      <c r="K288">
        <v>5447.26</v>
      </c>
      <c r="L288">
        <v>6264.35</v>
      </c>
      <c r="M288" t="s">
        <v>1821</v>
      </c>
      <c r="N288" t="s">
        <v>19</v>
      </c>
      <c r="O288" t="s">
        <v>19</v>
      </c>
      <c r="P288" t="s">
        <v>1822</v>
      </c>
      <c r="Q288">
        <v>0</v>
      </c>
      <c r="R288" t="s">
        <v>3878</v>
      </c>
    </row>
    <row r="289" spans="1:18" x14ac:dyDescent="0.2">
      <c r="A289" t="s">
        <v>1827</v>
      </c>
      <c r="B289" t="s">
        <v>1828</v>
      </c>
      <c r="C289" t="s">
        <v>14</v>
      </c>
      <c r="D289" t="s">
        <v>14</v>
      </c>
      <c r="E289" t="s">
        <v>1829</v>
      </c>
      <c r="F289" t="s">
        <v>1814</v>
      </c>
      <c r="G289" t="s">
        <v>1815</v>
      </c>
      <c r="H289" s="2" t="s">
        <v>3871</v>
      </c>
      <c r="I289" t="s">
        <v>1830</v>
      </c>
      <c r="J289">
        <v>3312.54</v>
      </c>
      <c r="K289">
        <v>7111.85</v>
      </c>
      <c r="L289">
        <v>8178.63</v>
      </c>
      <c r="M289" t="s">
        <v>1825</v>
      </c>
      <c r="N289" t="s">
        <v>19</v>
      </c>
      <c r="O289" t="s">
        <v>19</v>
      </c>
      <c r="P289" t="s">
        <v>1826</v>
      </c>
      <c r="Q289">
        <v>1</v>
      </c>
      <c r="R289" t="s">
        <v>3876</v>
      </c>
    </row>
    <row r="290" spans="1:18" x14ac:dyDescent="0.2">
      <c r="A290" t="s">
        <v>1833</v>
      </c>
      <c r="B290" t="s">
        <v>970</v>
      </c>
      <c r="C290" t="s">
        <v>972</v>
      </c>
      <c r="D290" t="s">
        <v>972</v>
      </c>
      <c r="E290" t="s">
        <v>1834</v>
      </c>
      <c r="F290" t="s">
        <v>1814</v>
      </c>
      <c r="G290" t="s">
        <v>1815</v>
      </c>
      <c r="H290" t="s">
        <v>3872</v>
      </c>
      <c r="I290" t="s">
        <v>1835</v>
      </c>
      <c r="J290">
        <v>2035.29</v>
      </c>
      <c r="K290">
        <v>3312.54</v>
      </c>
      <c r="L290">
        <v>3809.42</v>
      </c>
      <c r="M290" t="s">
        <v>1831</v>
      </c>
      <c r="N290" t="s">
        <v>19</v>
      </c>
      <c r="O290" t="s">
        <v>19</v>
      </c>
      <c r="P290" t="s">
        <v>1832</v>
      </c>
      <c r="Q290">
        <v>1</v>
      </c>
      <c r="R290" t="s">
        <v>3876</v>
      </c>
    </row>
    <row r="291" spans="1:18" x14ac:dyDescent="0.2">
      <c r="A291" t="s">
        <v>1838</v>
      </c>
      <c r="B291" t="s">
        <v>1839</v>
      </c>
      <c r="C291" t="s">
        <v>1839</v>
      </c>
      <c r="D291" t="s">
        <v>1839</v>
      </c>
      <c r="E291" t="s">
        <v>1840</v>
      </c>
      <c r="F291" t="s">
        <v>1814</v>
      </c>
      <c r="G291" t="s">
        <v>1815</v>
      </c>
      <c r="H291" t="s">
        <v>3872</v>
      </c>
      <c r="I291" t="s">
        <v>1841</v>
      </c>
      <c r="J291">
        <v>6721.26</v>
      </c>
      <c r="K291">
        <v>2035.29</v>
      </c>
      <c r="L291">
        <v>2340.58</v>
      </c>
      <c r="M291" t="s">
        <v>1836</v>
      </c>
      <c r="N291" t="s">
        <v>19</v>
      </c>
      <c r="O291" t="s">
        <v>19</v>
      </c>
      <c r="P291" t="s">
        <v>1837</v>
      </c>
      <c r="Q291">
        <v>1</v>
      </c>
      <c r="R291" t="s">
        <v>3877</v>
      </c>
    </row>
    <row r="292" spans="1:18" x14ac:dyDescent="0.2">
      <c r="A292" t="s">
        <v>1844</v>
      </c>
      <c r="B292" t="s">
        <v>850</v>
      </c>
      <c r="C292" t="s">
        <v>14</v>
      </c>
      <c r="D292" t="s">
        <v>14</v>
      </c>
      <c r="E292" t="s">
        <v>1845</v>
      </c>
      <c r="F292" t="s">
        <v>1846</v>
      </c>
      <c r="G292" t="s">
        <v>1847</v>
      </c>
      <c r="H292" t="s">
        <v>3872</v>
      </c>
      <c r="I292" t="s">
        <v>1848</v>
      </c>
      <c r="J292">
        <v>4009.66</v>
      </c>
      <c r="K292">
        <v>6721.26</v>
      </c>
      <c r="L292">
        <v>7729.45</v>
      </c>
      <c r="M292" t="s">
        <v>1842</v>
      </c>
      <c r="N292" t="s">
        <v>19</v>
      </c>
      <c r="O292" t="s">
        <v>19</v>
      </c>
      <c r="P292" t="s">
        <v>1843</v>
      </c>
      <c r="Q292">
        <v>1</v>
      </c>
      <c r="R292" t="s">
        <v>3876</v>
      </c>
    </row>
    <row r="293" spans="1:18" x14ac:dyDescent="0.2">
      <c r="A293" t="s">
        <v>1851</v>
      </c>
      <c r="B293" t="s">
        <v>1852</v>
      </c>
      <c r="C293" t="s">
        <v>1853</v>
      </c>
      <c r="D293" t="s">
        <v>1854</v>
      </c>
      <c r="E293" t="s">
        <v>1855</v>
      </c>
      <c r="F293" t="s">
        <v>1856</v>
      </c>
      <c r="G293" t="s">
        <v>1857</v>
      </c>
      <c r="H293" s="2" t="s">
        <v>3871</v>
      </c>
      <c r="I293" t="s">
        <v>1858</v>
      </c>
      <c r="J293">
        <v>22745.05</v>
      </c>
      <c r="K293">
        <v>4009.66</v>
      </c>
      <c r="L293">
        <v>4611.1099999999997</v>
      </c>
      <c r="M293" t="s">
        <v>1849</v>
      </c>
      <c r="N293" t="s">
        <v>19</v>
      </c>
      <c r="O293" t="s">
        <v>19</v>
      </c>
      <c r="P293" t="s">
        <v>1850</v>
      </c>
      <c r="Q293">
        <v>12</v>
      </c>
      <c r="R293" t="s">
        <v>3877</v>
      </c>
    </row>
    <row r="294" spans="1:18" x14ac:dyDescent="0.2">
      <c r="A294" t="s">
        <v>1861</v>
      </c>
      <c r="B294" t="s">
        <v>1862</v>
      </c>
      <c r="C294" t="s">
        <v>1863</v>
      </c>
      <c r="D294" t="s">
        <v>1864</v>
      </c>
      <c r="E294" t="s">
        <v>1865</v>
      </c>
      <c r="F294" t="s">
        <v>1866</v>
      </c>
      <c r="G294" t="s">
        <v>1867</v>
      </c>
      <c r="H294" t="s">
        <v>3872</v>
      </c>
      <c r="I294" t="s">
        <v>1868</v>
      </c>
      <c r="J294">
        <v>204583.21</v>
      </c>
      <c r="K294">
        <v>22745.05</v>
      </c>
      <c r="L294">
        <v>26156.81</v>
      </c>
      <c r="M294" t="s">
        <v>1859</v>
      </c>
      <c r="N294" t="s">
        <v>19</v>
      </c>
      <c r="O294" t="s">
        <v>18</v>
      </c>
      <c r="P294" t="s">
        <v>1860</v>
      </c>
      <c r="Q294">
        <v>33</v>
      </c>
      <c r="R294" t="s">
        <v>3878</v>
      </c>
    </row>
    <row r="295" spans="1:18" x14ac:dyDescent="0.2">
      <c r="A295" t="s">
        <v>1871</v>
      </c>
      <c r="B295" t="s">
        <v>96</v>
      </c>
      <c r="C295" t="s">
        <v>1872</v>
      </c>
      <c r="D295" t="s">
        <v>1873</v>
      </c>
      <c r="E295" t="s">
        <v>1874</v>
      </c>
      <c r="F295" t="s">
        <v>1846</v>
      </c>
      <c r="G295" t="s">
        <v>1847</v>
      </c>
      <c r="H295" t="s">
        <v>3872</v>
      </c>
      <c r="I295" t="s">
        <v>1875</v>
      </c>
      <c r="J295">
        <v>4109</v>
      </c>
      <c r="K295">
        <v>204583.21</v>
      </c>
      <c r="L295">
        <v>235270.69</v>
      </c>
      <c r="M295" t="s">
        <v>1869</v>
      </c>
      <c r="N295" t="s">
        <v>19</v>
      </c>
      <c r="O295" t="s">
        <v>19</v>
      </c>
      <c r="P295" t="s">
        <v>1870</v>
      </c>
      <c r="Q295">
        <v>0</v>
      </c>
      <c r="R295" t="s">
        <v>3877</v>
      </c>
    </row>
    <row r="296" spans="1:18" x14ac:dyDescent="0.2">
      <c r="A296" t="s">
        <v>1878</v>
      </c>
      <c r="B296" t="s">
        <v>1879</v>
      </c>
      <c r="C296" t="s">
        <v>1853</v>
      </c>
      <c r="D296" t="s">
        <v>1880</v>
      </c>
      <c r="E296" t="s">
        <v>1881</v>
      </c>
      <c r="F296" t="s">
        <v>1882</v>
      </c>
      <c r="G296" t="s">
        <v>1499</v>
      </c>
      <c r="H296" t="s">
        <v>3872</v>
      </c>
      <c r="I296" t="s">
        <v>1883</v>
      </c>
      <c r="J296">
        <v>87356.73</v>
      </c>
      <c r="K296">
        <v>4109</v>
      </c>
      <c r="L296">
        <v>4725.3500000000004</v>
      </c>
      <c r="M296" t="s">
        <v>1876</v>
      </c>
      <c r="N296" t="s">
        <v>19</v>
      </c>
      <c r="O296" t="s">
        <v>19</v>
      </c>
      <c r="P296" t="s">
        <v>1877</v>
      </c>
      <c r="Q296">
        <v>7</v>
      </c>
      <c r="R296" t="s">
        <v>3880</v>
      </c>
    </row>
    <row r="297" spans="1:18" x14ac:dyDescent="0.2">
      <c r="A297" t="s">
        <v>1886</v>
      </c>
      <c r="B297" t="s">
        <v>119</v>
      </c>
      <c r="C297" t="s">
        <v>1258</v>
      </c>
      <c r="D297" t="s">
        <v>1451</v>
      </c>
      <c r="E297" t="s">
        <v>1887</v>
      </c>
      <c r="F297" t="s">
        <v>1846</v>
      </c>
      <c r="G297" t="s">
        <v>1847</v>
      </c>
      <c r="H297" s="2" t="s">
        <v>3871</v>
      </c>
      <c r="I297" t="s">
        <v>1888</v>
      </c>
      <c r="J297">
        <v>3224.69</v>
      </c>
      <c r="K297">
        <v>87356.73</v>
      </c>
      <c r="L297">
        <v>100460.24</v>
      </c>
      <c r="M297" t="s">
        <v>1884</v>
      </c>
      <c r="N297" t="s">
        <v>19</v>
      </c>
      <c r="O297" t="s">
        <v>19</v>
      </c>
      <c r="P297" t="s">
        <v>1885</v>
      </c>
      <c r="Q297">
        <v>1</v>
      </c>
      <c r="R297" t="s">
        <v>3877</v>
      </c>
    </row>
    <row r="298" spans="1:18" x14ac:dyDescent="0.2">
      <c r="A298" t="s">
        <v>1891</v>
      </c>
      <c r="B298" t="s">
        <v>1892</v>
      </c>
      <c r="C298" t="s">
        <v>1893</v>
      </c>
      <c r="D298" t="s">
        <v>168</v>
      </c>
      <c r="E298" t="s">
        <v>1894</v>
      </c>
      <c r="F298" t="s">
        <v>1846</v>
      </c>
      <c r="G298" t="s">
        <v>1847</v>
      </c>
      <c r="H298" t="s">
        <v>3872</v>
      </c>
      <c r="I298" t="s">
        <v>1895</v>
      </c>
      <c r="J298">
        <v>7059.04</v>
      </c>
      <c r="K298">
        <v>3224.69</v>
      </c>
      <c r="L298">
        <v>3708.39</v>
      </c>
      <c r="M298" t="s">
        <v>1889</v>
      </c>
      <c r="N298" t="s">
        <v>19</v>
      </c>
      <c r="O298" t="s">
        <v>18</v>
      </c>
      <c r="P298" t="s">
        <v>1890</v>
      </c>
      <c r="Q298">
        <v>1</v>
      </c>
      <c r="R298" t="s">
        <v>3877</v>
      </c>
    </row>
    <row r="299" spans="1:18" x14ac:dyDescent="0.2">
      <c r="A299" t="s">
        <v>1898</v>
      </c>
      <c r="B299" t="s">
        <v>1899</v>
      </c>
      <c r="C299" t="s">
        <v>113</v>
      </c>
      <c r="D299" t="s">
        <v>1900</v>
      </c>
      <c r="E299" t="s">
        <v>1901</v>
      </c>
      <c r="F299" t="s">
        <v>1902</v>
      </c>
      <c r="G299" t="s">
        <v>1903</v>
      </c>
      <c r="H299" t="s">
        <v>3872</v>
      </c>
      <c r="I299" t="s">
        <v>1904</v>
      </c>
      <c r="J299">
        <v>36052.06</v>
      </c>
      <c r="K299">
        <v>7059.04</v>
      </c>
      <c r="L299">
        <v>8117.9</v>
      </c>
      <c r="M299" t="s">
        <v>1896</v>
      </c>
      <c r="N299" t="s">
        <v>19</v>
      </c>
      <c r="O299" t="s">
        <v>19</v>
      </c>
      <c r="P299" t="s">
        <v>1897</v>
      </c>
      <c r="Q299">
        <v>14</v>
      </c>
      <c r="R299" t="s">
        <v>3876</v>
      </c>
    </row>
    <row r="300" spans="1:18" x14ac:dyDescent="0.2">
      <c r="A300" t="s">
        <v>1907</v>
      </c>
      <c r="B300" t="s">
        <v>1908</v>
      </c>
      <c r="C300" t="s">
        <v>1853</v>
      </c>
      <c r="D300" t="s">
        <v>1909</v>
      </c>
      <c r="E300" t="s">
        <v>1910</v>
      </c>
      <c r="F300" t="s">
        <v>1846</v>
      </c>
      <c r="G300" t="s">
        <v>1847</v>
      </c>
      <c r="H300" t="s">
        <v>3872</v>
      </c>
      <c r="I300" t="s">
        <v>1911</v>
      </c>
      <c r="J300">
        <v>50872.71</v>
      </c>
      <c r="K300">
        <v>36052.06</v>
      </c>
      <c r="L300">
        <v>41459.870000000003</v>
      </c>
      <c r="M300" t="s">
        <v>1905</v>
      </c>
      <c r="N300" t="s">
        <v>19</v>
      </c>
      <c r="O300" t="s">
        <v>19</v>
      </c>
      <c r="P300" t="s">
        <v>1906</v>
      </c>
      <c r="Q300">
        <v>8</v>
      </c>
      <c r="R300" t="s">
        <v>3876</v>
      </c>
    </row>
    <row r="301" spans="1:18" x14ac:dyDescent="0.2">
      <c r="A301" t="s">
        <v>1914</v>
      </c>
      <c r="B301" t="s">
        <v>1915</v>
      </c>
      <c r="C301" t="s">
        <v>1916</v>
      </c>
      <c r="D301" t="s">
        <v>1916</v>
      </c>
      <c r="E301" t="s">
        <v>1917</v>
      </c>
      <c r="F301" t="s">
        <v>1846</v>
      </c>
      <c r="G301" t="s">
        <v>1847</v>
      </c>
      <c r="H301" t="s">
        <v>3872</v>
      </c>
      <c r="I301" t="s">
        <v>1918</v>
      </c>
      <c r="J301">
        <v>116639.02</v>
      </c>
      <c r="K301">
        <v>50872.71</v>
      </c>
      <c r="L301">
        <v>58503.62</v>
      </c>
      <c r="M301" t="s">
        <v>1912</v>
      </c>
      <c r="N301" t="s">
        <v>19</v>
      </c>
      <c r="O301" t="s">
        <v>19</v>
      </c>
      <c r="P301" t="s">
        <v>1913</v>
      </c>
      <c r="Q301">
        <v>19</v>
      </c>
      <c r="R301" t="s">
        <v>3876</v>
      </c>
    </row>
    <row r="302" spans="1:18" x14ac:dyDescent="0.2">
      <c r="A302" t="s">
        <v>1921</v>
      </c>
      <c r="B302" t="s">
        <v>1899</v>
      </c>
      <c r="C302" t="s">
        <v>113</v>
      </c>
      <c r="D302" t="s">
        <v>1900</v>
      </c>
      <c r="E302" t="s">
        <v>1922</v>
      </c>
      <c r="F302" t="s">
        <v>1846</v>
      </c>
      <c r="G302" t="s">
        <v>1847</v>
      </c>
      <c r="H302" t="s">
        <v>3872</v>
      </c>
      <c r="I302" t="s">
        <v>1904</v>
      </c>
      <c r="J302">
        <v>24560.32</v>
      </c>
      <c r="K302">
        <v>116639.02</v>
      </c>
      <c r="L302">
        <v>134134.87</v>
      </c>
      <c r="M302" t="s">
        <v>1919</v>
      </c>
      <c r="N302" t="s">
        <v>19</v>
      </c>
      <c r="O302" t="s">
        <v>19</v>
      </c>
      <c r="P302" t="s">
        <v>1920</v>
      </c>
      <c r="Q302">
        <v>8</v>
      </c>
      <c r="R302" t="s">
        <v>3880</v>
      </c>
    </row>
    <row r="303" spans="1:18" x14ac:dyDescent="0.2">
      <c r="A303" t="s">
        <v>1925</v>
      </c>
      <c r="B303" t="s">
        <v>1899</v>
      </c>
      <c r="C303" t="s">
        <v>113</v>
      </c>
      <c r="D303" t="s">
        <v>1900</v>
      </c>
      <c r="E303" t="s">
        <v>1926</v>
      </c>
      <c r="F303" t="s">
        <v>1846</v>
      </c>
      <c r="G303" t="s">
        <v>1847</v>
      </c>
      <c r="H303" t="s">
        <v>3872</v>
      </c>
      <c r="I303" t="s">
        <v>1904</v>
      </c>
      <c r="J303">
        <v>16899.16</v>
      </c>
      <c r="K303">
        <v>24560.32</v>
      </c>
      <c r="L303">
        <v>28244.37</v>
      </c>
      <c r="M303" t="s">
        <v>1923</v>
      </c>
      <c r="N303" t="s">
        <v>19</v>
      </c>
      <c r="O303" t="s">
        <v>19</v>
      </c>
      <c r="P303" t="s">
        <v>1924</v>
      </c>
      <c r="Q303">
        <v>4</v>
      </c>
      <c r="R303" t="s">
        <v>3880</v>
      </c>
    </row>
    <row r="304" spans="1:18" x14ac:dyDescent="0.2">
      <c r="A304" t="s">
        <v>1929</v>
      </c>
      <c r="B304" t="s">
        <v>393</v>
      </c>
      <c r="C304" t="s">
        <v>395</v>
      </c>
      <c r="D304" t="s">
        <v>395</v>
      </c>
      <c r="E304" t="s">
        <v>1930</v>
      </c>
      <c r="F304" t="s">
        <v>1846</v>
      </c>
      <c r="G304" t="s">
        <v>1847</v>
      </c>
      <c r="H304" t="s">
        <v>3872</v>
      </c>
      <c r="I304" t="s">
        <v>1931</v>
      </c>
      <c r="J304">
        <v>10698.07</v>
      </c>
      <c r="K304">
        <v>16899.16</v>
      </c>
      <c r="L304">
        <v>19434.03</v>
      </c>
      <c r="M304" t="s">
        <v>1927</v>
      </c>
      <c r="N304" t="s">
        <v>19</v>
      </c>
      <c r="O304" t="s">
        <v>19</v>
      </c>
      <c r="P304" t="s">
        <v>1928</v>
      </c>
      <c r="Q304">
        <v>2</v>
      </c>
      <c r="R304" t="s">
        <v>3878</v>
      </c>
    </row>
    <row r="305" spans="1:18" x14ac:dyDescent="0.2">
      <c r="A305" t="s">
        <v>1934</v>
      </c>
      <c r="B305" t="s">
        <v>1935</v>
      </c>
      <c r="C305" t="s">
        <v>1936</v>
      </c>
      <c r="D305" t="s">
        <v>1937</v>
      </c>
      <c r="E305" t="s">
        <v>1938</v>
      </c>
      <c r="F305" t="s">
        <v>1846</v>
      </c>
      <c r="G305" t="s">
        <v>1847</v>
      </c>
      <c r="H305" s="2" t="s">
        <v>3871</v>
      </c>
      <c r="I305" t="s">
        <v>1939</v>
      </c>
      <c r="J305">
        <v>3044486.78</v>
      </c>
      <c r="K305">
        <v>10698.07</v>
      </c>
      <c r="L305">
        <v>12302.78</v>
      </c>
      <c r="M305" t="s">
        <v>1932</v>
      </c>
      <c r="N305" t="s">
        <v>19</v>
      </c>
      <c r="O305" t="s">
        <v>772</v>
      </c>
      <c r="P305" t="s">
        <v>1933</v>
      </c>
      <c r="Q305">
        <v>1564</v>
      </c>
      <c r="R305" t="s">
        <v>3876</v>
      </c>
    </row>
    <row r="306" spans="1:18" x14ac:dyDescent="0.2">
      <c r="A306" t="s">
        <v>1942</v>
      </c>
      <c r="B306" t="s">
        <v>1943</v>
      </c>
      <c r="C306" t="s">
        <v>1944</v>
      </c>
      <c r="D306" t="s">
        <v>1944</v>
      </c>
      <c r="E306" t="s">
        <v>1945</v>
      </c>
      <c r="F306" t="s">
        <v>1846</v>
      </c>
      <c r="G306" t="s">
        <v>1847</v>
      </c>
      <c r="H306" t="s">
        <v>3872</v>
      </c>
      <c r="I306" t="s">
        <v>1946</v>
      </c>
      <c r="J306">
        <v>1516.5</v>
      </c>
      <c r="K306">
        <v>3044486.78</v>
      </c>
      <c r="L306">
        <v>3501159.8</v>
      </c>
      <c r="M306" t="s">
        <v>1940</v>
      </c>
      <c r="N306" t="s">
        <v>19</v>
      </c>
      <c r="O306" t="s">
        <v>19</v>
      </c>
      <c r="P306" t="s">
        <v>1941</v>
      </c>
      <c r="Q306">
        <v>0</v>
      </c>
      <c r="R306" t="s">
        <v>3878</v>
      </c>
    </row>
    <row r="307" spans="1:18" x14ac:dyDescent="0.2">
      <c r="A307" t="s">
        <v>1949</v>
      </c>
      <c r="B307" t="s">
        <v>1314</v>
      </c>
      <c r="C307" t="s">
        <v>1950</v>
      </c>
      <c r="D307" t="s">
        <v>1950</v>
      </c>
      <c r="E307" t="s">
        <v>1951</v>
      </c>
      <c r="F307" t="s">
        <v>1952</v>
      </c>
      <c r="G307" t="s">
        <v>1953</v>
      </c>
      <c r="H307" t="s">
        <v>3872</v>
      </c>
      <c r="I307" t="s">
        <v>1954</v>
      </c>
      <c r="J307">
        <v>2248.1</v>
      </c>
      <c r="K307">
        <v>1516.5</v>
      </c>
      <c r="L307">
        <v>1743.98</v>
      </c>
      <c r="M307" t="s">
        <v>1947</v>
      </c>
      <c r="N307" t="s">
        <v>19</v>
      </c>
      <c r="O307" t="s">
        <v>19</v>
      </c>
      <c r="P307" t="s">
        <v>1948</v>
      </c>
      <c r="Q307">
        <v>1</v>
      </c>
      <c r="R307" t="s">
        <v>3877</v>
      </c>
    </row>
    <row r="308" spans="1:18" x14ac:dyDescent="0.2">
      <c r="A308" t="s">
        <v>1957</v>
      </c>
      <c r="B308" t="s">
        <v>1958</v>
      </c>
      <c r="C308" t="s">
        <v>14</v>
      </c>
      <c r="D308" t="s">
        <v>14</v>
      </c>
      <c r="E308" t="s">
        <v>1960</v>
      </c>
      <c r="F308" t="s">
        <v>1952</v>
      </c>
      <c r="G308" t="s">
        <v>1953</v>
      </c>
      <c r="H308" s="2" t="s">
        <v>3871</v>
      </c>
      <c r="I308" t="s">
        <v>1961</v>
      </c>
      <c r="J308">
        <v>150380</v>
      </c>
      <c r="K308">
        <v>2248.1</v>
      </c>
      <c r="L308">
        <v>2585.3200000000002</v>
      </c>
      <c r="M308" t="s">
        <v>1955</v>
      </c>
      <c r="N308" t="s">
        <v>19</v>
      </c>
      <c r="O308" t="s">
        <v>18</v>
      </c>
      <c r="P308" t="s">
        <v>1956</v>
      </c>
      <c r="Q308">
        <v>7</v>
      </c>
      <c r="R308" t="s">
        <v>3880</v>
      </c>
    </row>
    <row r="309" spans="1:18" x14ac:dyDescent="0.2">
      <c r="A309" t="s">
        <v>1964</v>
      </c>
      <c r="B309" t="s">
        <v>1965</v>
      </c>
      <c r="C309" t="s">
        <v>1966</v>
      </c>
      <c r="D309" t="s">
        <v>1967</v>
      </c>
      <c r="E309" t="s">
        <v>1968</v>
      </c>
      <c r="F309" t="s">
        <v>1952</v>
      </c>
      <c r="G309" t="s">
        <v>1953</v>
      </c>
      <c r="H309" s="2" t="s">
        <v>3871</v>
      </c>
      <c r="I309" t="s">
        <v>1969</v>
      </c>
      <c r="J309">
        <v>3044486.78</v>
      </c>
      <c r="K309">
        <v>150380</v>
      </c>
      <c r="L309">
        <v>172937</v>
      </c>
      <c r="M309" t="s">
        <v>1962</v>
      </c>
      <c r="N309" t="s">
        <v>19</v>
      </c>
      <c r="O309" t="s">
        <v>772</v>
      </c>
      <c r="P309" t="s">
        <v>1963</v>
      </c>
      <c r="Q309">
        <v>1564</v>
      </c>
      <c r="R309" t="s">
        <v>3876</v>
      </c>
    </row>
    <row r="310" spans="1:18" x14ac:dyDescent="0.2">
      <c r="A310" t="s">
        <v>1972</v>
      </c>
      <c r="B310" t="s">
        <v>1973</v>
      </c>
      <c r="C310" t="s">
        <v>14</v>
      </c>
      <c r="D310" t="s">
        <v>14</v>
      </c>
      <c r="E310" t="s">
        <v>1974</v>
      </c>
      <c r="F310" t="s">
        <v>1975</v>
      </c>
      <c r="G310" t="s">
        <v>1976</v>
      </c>
      <c r="H310" s="2" t="s">
        <v>3871</v>
      </c>
      <c r="I310" t="s">
        <v>1977</v>
      </c>
      <c r="J310">
        <v>7700</v>
      </c>
      <c r="K310">
        <v>3044486.78</v>
      </c>
      <c r="L310">
        <v>3501159.8</v>
      </c>
      <c r="M310" t="s">
        <v>1970</v>
      </c>
      <c r="N310" t="s">
        <v>19</v>
      </c>
      <c r="O310" t="s">
        <v>19</v>
      </c>
      <c r="P310" t="s">
        <v>1971</v>
      </c>
      <c r="Q310">
        <v>1</v>
      </c>
      <c r="R310" t="s">
        <v>3877</v>
      </c>
    </row>
    <row r="311" spans="1:18" x14ac:dyDescent="0.2">
      <c r="A311" t="s">
        <v>1980</v>
      </c>
      <c r="B311" t="s">
        <v>1710</v>
      </c>
      <c r="C311" t="s">
        <v>759</v>
      </c>
      <c r="D311" t="s">
        <v>160</v>
      </c>
      <c r="E311" t="s">
        <v>1981</v>
      </c>
      <c r="F311" t="s">
        <v>1633</v>
      </c>
      <c r="G311" t="s">
        <v>1733</v>
      </c>
      <c r="H311" t="s">
        <v>3872</v>
      </c>
      <c r="I311" t="s">
        <v>1982</v>
      </c>
      <c r="J311">
        <v>15540.44</v>
      </c>
      <c r="K311">
        <v>7700</v>
      </c>
      <c r="L311">
        <v>8855</v>
      </c>
      <c r="M311" t="s">
        <v>1978</v>
      </c>
      <c r="N311" t="s">
        <v>19</v>
      </c>
      <c r="O311" t="s">
        <v>18</v>
      </c>
      <c r="P311" t="s">
        <v>1979</v>
      </c>
      <c r="Q311">
        <v>1</v>
      </c>
      <c r="R311" t="s">
        <v>3877</v>
      </c>
    </row>
    <row r="312" spans="1:18" x14ac:dyDescent="0.2">
      <c r="A312" t="s">
        <v>1985</v>
      </c>
      <c r="B312" t="s">
        <v>1710</v>
      </c>
      <c r="C312" t="s">
        <v>759</v>
      </c>
      <c r="D312" t="s">
        <v>160</v>
      </c>
      <c r="E312" t="s">
        <v>1986</v>
      </c>
      <c r="F312" t="s">
        <v>1975</v>
      </c>
      <c r="G312" t="s">
        <v>1976</v>
      </c>
      <c r="H312" t="s">
        <v>3872</v>
      </c>
      <c r="I312" t="s">
        <v>1982</v>
      </c>
      <c r="J312">
        <v>8838</v>
      </c>
      <c r="K312">
        <v>15540.44</v>
      </c>
      <c r="L312">
        <v>17871.509999999998</v>
      </c>
      <c r="M312" t="s">
        <v>1983</v>
      </c>
      <c r="N312" t="s">
        <v>19</v>
      </c>
      <c r="O312" t="s">
        <v>19</v>
      </c>
      <c r="P312" t="s">
        <v>1984</v>
      </c>
      <c r="Q312">
        <v>0</v>
      </c>
      <c r="R312" t="s">
        <v>3877</v>
      </c>
    </row>
    <row r="313" spans="1:18" x14ac:dyDescent="0.2">
      <c r="A313" t="s">
        <v>1989</v>
      </c>
      <c r="B313" t="s">
        <v>526</v>
      </c>
      <c r="C313" t="s">
        <v>528</v>
      </c>
      <c r="D313" t="s">
        <v>528</v>
      </c>
      <c r="E313" t="s">
        <v>1990</v>
      </c>
      <c r="F313" t="s">
        <v>1991</v>
      </c>
      <c r="G313" t="s">
        <v>1992</v>
      </c>
      <c r="H313" t="s">
        <v>3872</v>
      </c>
      <c r="I313" t="s">
        <v>1993</v>
      </c>
      <c r="J313">
        <v>4830</v>
      </c>
      <c r="K313">
        <v>8838</v>
      </c>
      <c r="L313">
        <v>10163.700000000001</v>
      </c>
      <c r="M313" t="s">
        <v>1987</v>
      </c>
      <c r="N313" t="s">
        <v>19</v>
      </c>
      <c r="O313" t="s">
        <v>19</v>
      </c>
      <c r="P313" t="s">
        <v>1988</v>
      </c>
      <c r="Q313">
        <v>0</v>
      </c>
      <c r="R313" t="s">
        <v>3876</v>
      </c>
    </row>
    <row r="314" spans="1:18" x14ac:dyDescent="0.2">
      <c r="A314" t="s">
        <v>1996</v>
      </c>
      <c r="B314" t="s">
        <v>49</v>
      </c>
      <c r="C314" t="s">
        <v>51</v>
      </c>
      <c r="D314" t="s">
        <v>51</v>
      </c>
      <c r="E314" t="s">
        <v>1997</v>
      </c>
      <c r="F314" t="s">
        <v>1991</v>
      </c>
      <c r="G314" t="s">
        <v>1992</v>
      </c>
      <c r="H314" t="s">
        <v>3872</v>
      </c>
      <c r="I314" t="s">
        <v>1998</v>
      </c>
      <c r="J314">
        <v>2035.29</v>
      </c>
      <c r="K314">
        <v>4830</v>
      </c>
      <c r="L314">
        <v>5554.5</v>
      </c>
      <c r="M314" t="s">
        <v>1994</v>
      </c>
      <c r="N314" t="s">
        <v>19</v>
      </c>
      <c r="O314" t="s">
        <v>19</v>
      </c>
      <c r="P314" t="s">
        <v>1995</v>
      </c>
      <c r="Q314">
        <v>1</v>
      </c>
      <c r="R314" t="s">
        <v>3877</v>
      </c>
    </row>
    <row r="315" spans="1:18" x14ac:dyDescent="0.2">
      <c r="A315" t="s">
        <v>2001</v>
      </c>
      <c r="B315" t="s">
        <v>1915</v>
      </c>
      <c r="C315" t="s">
        <v>1916</v>
      </c>
      <c r="D315" t="s">
        <v>1916</v>
      </c>
      <c r="E315" t="s">
        <v>2002</v>
      </c>
      <c r="F315" t="s">
        <v>1991</v>
      </c>
      <c r="G315" t="s">
        <v>1992</v>
      </c>
      <c r="H315" t="s">
        <v>3872</v>
      </c>
      <c r="I315" t="s">
        <v>2003</v>
      </c>
      <c r="J315">
        <v>57997.08</v>
      </c>
      <c r="K315">
        <v>2035.29</v>
      </c>
      <c r="L315">
        <v>2340.58</v>
      </c>
      <c r="M315" t="s">
        <v>1999</v>
      </c>
      <c r="N315" t="s">
        <v>19</v>
      </c>
      <c r="O315" t="s">
        <v>18</v>
      </c>
      <c r="P315" t="s">
        <v>2000</v>
      </c>
      <c r="Q315">
        <v>17</v>
      </c>
      <c r="R315" t="s">
        <v>3876</v>
      </c>
    </row>
    <row r="316" spans="1:18" x14ac:dyDescent="0.2">
      <c r="A316" t="s">
        <v>2006</v>
      </c>
      <c r="B316" t="s">
        <v>2007</v>
      </c>
      <c r="C316" t="s">
        <v>2008</v>
      </c>
      <c r="D316" t="s">
        <v>2008</v>
      </c>
      <c r="E316" t="s">
        <v>14</v>
      </c>
      <c r="F316" t="s">
        <v>2009</v>
      </c>
      <c r="G316" t="s">
        <v>2010</v>
      </c>
      <c r="H316" t="s">
        <v>3872</v>
      </c>
      <c r="I316" t="s">
        <v>2011</v>
      </c>
      <c r="J316">
        <v>4669.29</v>
      </c>
      <c r="K316">
        <v>57997.08</v>
      </c>
      <c r="L316">
        <v>66696.639999999999</v>
      </c>
      <c r="M316" t="s">
        <v>2004</v>
      </c>
      <c r="N316" t="s">
        <v>19</v>
      </c>
      <c r="O316" t="s">
        <v>19</v>
      </c>
      <c r="P316" t="s">
        <v>2005</v>
      </c>
      <c r="Q316">
        <v>2</v>
      </c>
      <c r="R316" t="s">
        <v>3876</v>
      </c>
    </row>
    <row r="317" spans="1:18" x14ac:dyDescent="0.2">
      <c r="A317" t="s">
        <v>2014</v>
      </c>
      <c r="B317" t="s">
        <v>2015</v>
      </c>
      <c r="C317" t="s">
        <v>2016</v>
      </c>
      <c r="D317" t="s">
        <v>2016</v>
      </c>
      <c r="E317" t="s">
        <v>2017</v>
      </c>
      <c r="F317" t="s">
        <v>1639</v>
      </c>
      <c r="G317" t="s">
        <v>2018</v>
      </c>
      <c r="H317" t="s">
        <v>3872</v>
      </c>
      <c r="I317" t="s">
        <v>2019</v>
      </c>
      <c r="J317">
        <v>7861.16</v>
      </c>
      <c r="K317">
        <v>4669.29</v>
      </c>
      <c r="L317">
        <v>5369.68</v>
      </c>
      <c r="M317" t="s">
        <v>2012</v>
      </c>
      <c r="N317" t="s">
        <v>18</v>
      </c>
      <c r="O317" t="s">
        <v>18</v>
      </c>
      <c r="P317" t="s">
        <v>2013</v>
      </c>
      <c r="Q317">
        <v>4</v>
      </c>
      <c r="R317" t="s">
        <v>3876</v>
      </c>
    </row>
    <row r="318" spans="1:18" x14ac:dyDescent="0.2">
      <c r="A318" t="s">
        <v>2022</v>
      </c>
      <c r="B318" t="s">
        <v>2023</v>
      </c>
      <c r="C318" t="s">
        <v>2025</v>
      </c>
      <c r="D318" t="s">
        <v>168</v>
      </c>
      <c r="E318" t="s">
        <v>2026</v>
      </c>
      <c r="F318" t="s">
        <v>1581</v>
      </c>
      <c r="G318" t="s">
        <v>2018</v>
      </c>
      <c r="H318" t="s">
        <v>3872</v>
      </c>
      <c r="I318" t="s">
        <v>2024</v>
      </c>
      <c r="J318">
        <v>737.04</v>
      </c>
      <c r="K318">
        <v>7861.16</v>
      </c>
      <c r="L318">
        <v>9040.33</v>
      </c>
      <c r="M318" t="s">
        <v>2020</v>
      </c>
      <c r="N318" t="s">
        <v>19</v>
      </c>
      <c r="O318" t="s">
        <v>19</v>
      </c>
      <c r="P318" t="s">
        <v>2021</v>
      </c>
      <c r="Q318">
        <v>0</v>
      </c>
      <c r="R318" t="s">
        <v>3876</v>
      </c>
    </row>
    <row r="319" spans="1:18" x14ac:dyDescent="0.2">
      <c r="A319" t="s">
        <v>2029</v>
      </c>
      <c r="B319" t="s">
        <v>2030</v>
      </c>
      <c r="C319" t="s">
        <v>113</v>
      </c>
      <c r="D319" t="s">
        <v>2031</v>
      </c>
      <c r="E319" t="s">
        <v>2032</v>
      </c>
      <c r="F319" t="s">
        <v>1639</v>
      </c>
      <c r="G319" t="s">
        <v>2018</v>
      </c>
      <c r="H319" t="s">
        <v>3872</v>
      </c>
      <c r="I319" t="s">
        <v>2033</v>
      </c>
      <c r="J319">
        <v>98355.11</v>
      </c>
      <c r="K319">
        <v>737.04</v>
      </c>
      <c r="L319">
        <v>847.6</v>
      </c>
      <c r="M319" t="s">
        <v>2027</v>
      </c>
      <c r="N319" t="s">
        <v>19</v>
      </c>
      <c r="O319" t="s">
        <v>19</v>
      </c>
      <c r="P319" t="s">
        <v>2028</v>
      </c>
      <c r="Q319">
        <v>30</v>
      </c>
      <c r="R319" t="s">
        <v>3876</v>
      </c>
    </row>
    <row r="320" spans="1:18" x14ac:dyDescent="0.2">
      <c r="A320" t="s">
        <v>2036</v>
      </c>
      <c r="B320" t="s">
        <v>1029</v>
      </c>
      <c r="C320" t="s">
        <v>121</v>
      </c>
      <c r="D320" t="s">
        <v>1031</v>
      </c>
      <c r="E320" t="s">
        <v>2037</v>
      </c>
      <c r="F320" t="s">
        <v>2038</v>
      </c>
      <c r="G320" t="s">
        <v>2039</v>
      </c>
      <c r="H320" t="s">
        <v>3872</v>
      </c>
      <c r="I320" t="s">
        <v>2040</v>
      </c>
      <c r="J320">
        <v>18521.439999999999</v>
      </c>
      <c r="K320">
        <v>98355.11</v>
      </c>
      <c r="L320">
        <v>113108.37</v>
      </c>
      <c r="M320" t="s">
        <v>2034</v>
      </c>
      <c r="N320" t="s">
        <v>19</v>
      </c>
      <c r="O320" t="s">
        <v>19</v>
      </c>
      <c r="P320" t="s">
        <v>2035</v>
      </c>
      <c r="Q320">
        <v>2</v>
      </c>
      <c r="R320" t="s">
        <v>3876</v>
      </c>
    </row>
    <row r="321" spans="1:18" x14ac:dyDescent="0.2">
      <c r="A321" t="s">
        <v>2043</v>
      </c>
      <c r="B321" t="s">
        <v>2044</v>
      </c>
      <c r="C321" t="s">
        <v>2045</v>
      </c>
      <c r="D321" t="s">
        <v>2045</v>
      </c>
      <c r="E321" t="s">
        <v>2046</v>
      </c>
      <c r="F321" t="s">
        <v>1684</v>
      </c>
      <c r="G321" t="s">
        <v>1733</v>
      </c>
      <c r="H321" t="s">
        <v>3872</v>
      </c>
      <c r="I321" t="s">
        <v>2047</v>
      </c>
      <c r="J321">
        <v>29940.15</v>
      </c>
      <c r="K321">
        <v>18521.439999999999</v>
      </c>
      <c r="L321">
        <v>21299.66</v>
      </c>
      <c r="M321" t="s">
        <v>2041</v>
      </c>
      <c r="N321" t="s">
        <v>19</v>
      </c>
      <c r="O321" t="s">
        <v>19</v>
      </c>
      <c r="P321" t="s">
        <v>2042</v>
      </c>
      <c r="Q321">
        <v>4</v>
      </c>
      <c r="R321" t="s">
        <v>3876</v>
      </c>
    </row>
    <row r="322" spans="1:18" x14ac:dyDescent="0.2">
      <c r="A322" t="s">
        <v>2050</v>
      </c>
      <c r="B322" t="s">
        <v>127</v>
      </c>
      <c r="C322" t="s">
        <v>2051</v>
      </c>
      <c r="D322" t="s">
        <v>168</v>
      </c>
      <c r="E322" t="s">
        <v>2052</v>
      </c>
      <c r="F322" t="s">
        <v>1639</v>
      </c>
      <c r="G322" t="s">
        <v>2053</v>
      </c>
      <c r="H322" t="s">
        <v>3872</v>
      </c>
      <c r="I322" t="s">
        <v>2054</v>
      </c>
      <c r="J322">
        <v>371572.7</v>
      </c>
      <c r="K322">
        <v>29940.15</v>
      </c>
      <c r="L322">
        <v>34431.17</v>
      </c>
      <c r="M322" t="s">
        <v>2048</v>
      </c>
      <c r="N322" t="s">
        <v>19</v>
      </c>
      <c r="O322" t="s">
        <v>772</v>
      </c>
      <c r="P322" t="s">
        <v>2049</v>
      </c>
      <c r="Q322">
        <v>50</v>
      </c>
      <c r="R322" t="s">
        <v>3876</v>
      </c>
    </row>
    <row r="323" spans="1:18" x14ac:dyDescent="0.2">
      <c r="A323" t="s">
        <v>2057</v>
      </c>
      <c r="B323" t="s">
        <v>2058</v>
      </c>
      <c r="C323" t="s">
        <v>2059</v>
      </c>
      <c r="D323" t="s">
        <v>2060</v>
      </c>
      <c r="E323" t="s">
        <v>2061</v>
      </c>
      <c r="F323" t="s">
        <v>2062</v>
      </c>
      <c r="G323" t="s">
        <v>2063</v>
      </c>
      <c r="H323" t="s">
        <v>3872</v>
      </c>
      <c r="I323" t="s">
        <v>2064</v>
      </c>
      <c r="J323">
        <v>15726.48</v>
      </c>
      <c r="K323">
        <v>371572.7</v>
      </c>
      <c r="L323">
        <v>427308.61</v>
      </c>
      <c r="M323" t="s">
        <v>2055</v>
      </c>
      <c r="N323" t="s">
        <v>19</v>
      </c>
      <c r="O323" t="s">
        <v>19</v>
      </c>
      <c r="P323" t="s">
        <v>2056</v>
      </c>
      <c r="Q323">
        <v>2</v>
      </c>
      <c r="R323" t="s">
        <v>3876</v>
      </c>
    </row>
    <row r="324" spans="1:18" x14ac:dyDescent="0.2">
      <c r="A324" t="s">
        <v>2067</v>
      </c>
      <c r="B324" t="s">
        <v>2068</v>
      </c>
      <c r="C324" t="s">
        <v>2069</v>
      </c>
      <c r="D324" t="s">
        <v>2069</v>
      </c>
      <c r="E324" t="s">
        <v>2070</v>
      </c>
      <c r="F324" t="s">
        <v>2062</v>
      </c>
      <c r="G324" t="s">
        <v>2063</v>
      </c>
      <c r="H324" t="s">
        <v>3872</v>
      </c>
      <c r="I324" t="s">
        <v>2071</v>
      </c>
      <c r="J324">
        <v>6361.04</v>
      </c>
      <c r="K324">
        <v>15726.48</v>
      </c>
      <c r="L324">
        <v>18085.45</v>
      </c>
      <c r="M324" t="s">
        <v>2065</v>
      </c>
      <c r="N324" t="s">
        <v>19</v>
      </c>
      <c r="O324" t="s">
        <v>19</v>
      </c>
      <c r="P324" t="s">
        <v>2066</v>
      </c>
      <c r="Q324">
        <v>2</v>
      </c>
      <c r="R324" t="s">
        <v>3877</v>
      </c>
    </row>
    <row r="325" spans="1:18" x14ac:dyDescent="0.2">
      <c r="A325" t="s">
        <v>2074</v>
      </c>
      <c r="B325" t="s">
        <v>2068</v>
      </c>
      <c r="C325" t="s">
        <v>2069</v>
      </c>
      <c r="D325" t="s">
        <v>2069</v>
      </c>
      <c r="E325" t="s">
        <v>2075</v>
      </c>
      <c r="F325" t="s">
        <v>2062</v>
      </c>
      <c r="G325" t="s">
        <v>2063</v>
      </c>
      <c r="H325" t="s">
        <v>3872</v>
      </c>
      <c r="I325" t="s">
        <v>2071</v>
      </c>
      <c r="J325">
        <v>7790.64</v>
      </c>
      <c r="K325">
        <v>6361.04</v>
      </c>
      <c r="L325">
        <v>7315.2</v>
      </c>
      <c r="M325" t="s">
        <v>2072</v>
      </c>
      <c r="N325" t="s">
        <v>19</v>
      </c>
      <c r="O325" t="s">
        <v>19</v>
      </c>
      <c r="P325" t="s">
        <v>2073</v>
      </c>
      <c r="Q325">
        <v>2</v>
      </c>
      <c r="R325" t="s">
        <v>3877</v>
      </c>
    </row>
    <row r="326" spans="1:18" x14ac:dyDescent="0.2">
      <c r="A326" t="s">
        <v>2078</v>
      </c>
      <c r="B326" t="s">
        <v>2079</v>
      </c>
      <c r="C326" t="s">
        <v>2080</v>
      </c>
      <c r="D326" t="s">
        <v>2080</v>
      </c>
      <c r="E326" t="s">
        <v>2081</v>
      </c>
      <c r="F326" t="s">
        <v>1732</v>
      </c>
      <c r="G326" t="s">
        <v>2063</v>
      </c>
      <c r="H326" t="s">
        <v>3872</v>
      </c>
      <c r="I326" t="s">
        <v>2082</v>
      </c>
      <c r="J326">
        <v>127936.81</v>
      </c>
      <c r="K326">
        <v>7790.64</v>
      </c>
      <c r="L326">
        <v>8959.24</v>
      </c>
      <c r="M326" t="s">
        <v>2076</v>
      </c>
      <c r="N326" t="s">
        <v>19</v>
      </c>
      <c r="O326" t="s">
        <v>19</v>
      </c>
      <c r="P326" t="s">
        <v>2077</v>
      </c>
      <c r="Q326">
        <v>38</v>
      </c>
      <c r="R326" t="s">
        <v>3879</v>
      </c>
    </row>
    <row r="327" spans="1:18" x14ac:dyDescent="0.2">
      <c r="A327" t="s">
        <v>2085</v>
      </c>
      <c r="B327" t="s">
        <v>119</v>
      </c>
      <c r="C327" t="s">
        <v>1258</v>
      </c>
      <c r="D327" t="s">
        <v>1451</v>
      </c>
      <c r="E327" t="s">
        <v>2086</v>
      </c>
      <c r="F327" t="s">
        <v>2062</v>
      </c>
      <c r="G327" t="s">
        <v>2063</v>
      </c>
      <c r="H327" s="2" t="s">
        <v>3871</v>
      </c>
      <c r="I327" t="s">
        <v>2087</v>
      </c>
      <c r="J327">
        <v>3224.69</v>
      </c>
      <c r="K327">
        <v>127936.81</v>
      </c>
      <c r="L327">
        <v>147127.34</v>
      </c>
      <c r="M327" t="s">
        <v>2083</v>
      </c>
      <c r="N327" t="s">
        <v>19</v>
      </c>
      <c r="O327" t="s">
        <v>19</v>
      </c>
      <c r="P327" t="s">
        <v>2084</v>
      </c>
      <c r="Q327">
        <v>1</v>
      </c>
      <c r="R327" t="s">
        <v>3877</v>
      </c>
    </row>
    <row r="328" spans="1:18" x14ac:dyDescent="0.2">
      <c r="A328" t="s">
        <v>2090</v>
      </c>
      <c r="B328" t="s">
        <v>2091</v>
      </c>
      <c r="C328" t="s">
        <v>2092</v>
      </c>
      <c r="D328" t="s">
        <v>2092</v>
      </c>
      <c r="E328" t="s">
        <v>2093</v>
      </c>
      <c r="F328" t="s">
        <v>1732</v>
      </c>
      <c r="G328" t="s">
        <v>1733</v>
      </c>
      <c r="H328" t="s">
        <v>3872</v>
      </c>
      <c r="I328" t="s">
        <v>2094</v>
      </c>
      <c r="J328">
        <v>5621.44</v>
      </c>
      <c r="K328">
        <v>3224.69</v>
      </c>
      <c r="L328">
        <v>3708.39</v>
      </c>
      <c r="M328" t="s">
        <v>2088</v>
      </c>
      <c r="N328" t="s">
        <v>19</v>
      </c>
      <c r="O328" t="s">
        <v>18</v>
      </c>
      <c r="P328" t="s">
        <v>2089</v>
      </c>
      <c r="Q328">
        <v>1</v>
      </c>
      <c r="R328" t="s">
        <v>3878</v>
      </c>
    </row>
    <row r="329" spans="1:18" x14ac:dyDescent="0.2">
      <c r="A329" t="s">
        <v>2097</v>
      </c>
      <c r="B329" t="s">
        <v>245</v>
      </c>
      <c r="C329" t="s">
        <v>113</v>
      </c>
      <c r="D329" t="s">
        <v>564</v>
      </c>
      <c r="E329" t="s">
        <v>2098</v>
      </c>
      <c r="F329" t="s">
        <v>1732</v>
      </c>
      <c r="G329" t="s">
        <v>1733</v>
      </c>
      <c r="H329" t="s">
        <v>3872</v>
      </c>
      <c r="I329" t="s">
        <v>246</v>
      </c>
      <c r="J329">
        <v>534.05999999999995</v>
      </c>
      <c r="K329">
        <v>5621.44</v>
      </c>
      <c r="L329">
        <v>6464.66</v>
      </c>
      <c r="M329" t="s">
        <v>2095</v>
      </c>
      <c r="N329" t="s">
        <v>19</v>
      </c>
      <c r="O329" t="s">
        <v>19</v>
      </c>
      <c r="P329" t="s">
        <v>2096</v>
      </c>
      <c r="Q329">
        <v>0</v>
      </c>
      <c r="R329" t="s">
        <v>3876</v>
      </c>
    </row>
    <row r="330" spans="1:18" x14ac:dyDescent="0.2">
      <c r="A330" t="s">
        <v>2101</v>
      </c>
      <c r="B330" t="s">
        <v>2102</v>
      </c>
      <c r="C330" t="s">
        <v>2103</v>
      </c>
      <c r="D330" t="s">
        <v>2103</v>
      </c>
      <c r="E330" t="s">
        <v>2104</v>
      </c>
      <c r="F330" t="s">
        <v>1732</v>
      </c>
      <c r="G330" t="s">
        <v>1733</v>
      </c>
      <c r="H330" t="s">
        <v>3872</v>
      </c>
      <c r="I330" t="s">
        <v>2105</v>
      </c>
      <c r="J330">
        <v>21993.74</v>
      </c>
      <c r="K330">
        <v>534.05999999999995</v>
      </c>
      <c r="L330">
        <v>614.16999999999996</v>
      </c>
      <c r="M330" t="s">
        <v>2099</v>
      </c>
      <c r="N330" t="s">
        <v>19</v>
      </c>
      <c r="O330" t="s">
        <v>19</v>
      </c>
      <c r="P330" t="s">
        <v>2100</v>
      </c>
      <c r="Q330">
        <v>1</v>
      </c>
      <c r="R330" t="s">
        <v>3879</v>
      </c>
    </row>
    <row r="331" spans="1:18" x14ac:dyDescent="0.2">
      <c r="A331" t="s">
        <v>2108</v>
      </c>
      <c r="B331" t="s">
        <v>74</v>
      </c>
      <c r="C331" t="s">
        <v>76</v>
      </c>
      <c r="D331" t="s">
        <v>77</v>
      </c>
      <c r="E331" t="s">
        <v>2109</v>
      </c>
      <c r="F331" t="s">
        <v>1633</v>
      </c>
      <c r="G331" t="s">
        <v>2110</v>
      </c>
      <c r="H331" t="s">
        <v>3872</v>
      </c>
      <c r="I331" t="s">
        <v>2111</v>
      </c>
      <c r="J331">
        <v>1822.48</v>
      </c>
      <c r="K331">
        <v>21993.74</v>
      </c>
      <c r="L331">
        <v>25292.81</v>
      </c>
      <c r="M331" t="s">
        <v>2106</v>
      </c>
      <c r="N331" t="s">
        <v>19</v>
      </c>
      <c r="O331" t="s">
        <v>19</v>
      </c>
      <c r="P331" t="s">
        <v>2107</v>
      </c>
      <c r="Q331">
        <v>1</v>
      </c>
      <c r="R331" t="s">
        <v>3877</v>
      </c>
    </row>
    <row r="332" spans="1:18" x14ac:dyDescent="0.2">
      <c r="A332" t="s">
        <v>2114</v>
      </c>
      <c r="B332" t="s">
        <v>2079</v>
      </c>
      <c r="C332" t="s">
        <v>2080</v>
      </c>
      <c r="D332" t="s">
        <v>2080</v>
      </c>
      <c r="E332" t="s">
        <v>2115</v>
      </c>
      <c r="F332" t="s">
        <v>1633</v>
      </c>
      <c r="G332" t="s">
        <v>2110</v>
      </c>
      <c r="H332" t="s">
        <v>3872</v>
      </c>
      <c r="I332" t="s">
        <v>2082</v>
      </c>
      <c r="J332">
        <v>131789.92000000001</v>
      </c>
      <c r="K332">
        <v>1822.48</v>
      </c>
      <c r="L332">
        <v>2095.85</v>
      </c>
      <c r="M332" t="s">
        <v>2112</v>
      </c>
      <c r="N332" t="s">
        <v>19</v>
      </c>
      <c r="O332" t="s">
        <v>18</v>
      </c>
      <c r="P332" t="s">
        <v>2113</v>
      </c>
      <c r="Q332">
        <v>38</v>
      </c>
      <c r="R332" t="s">
        <v>3879</v>
      </c>
    </row>
    <row r="333" spans="1:18" x14ac:dyDescent="0.2">
      <c r="A333" t="s">
        <v>2118</v>
      </c>
      <c r="B333" t="s">
        <v>881</v>
      </c>
      <c r="C333" t="s">
        <v>14</v>
      </c>
      <c r="D333" t="s">
        <v>14</v>
      </c>
      <c r="E333" t="s">
        <v>2119</v>
      </c>
      <c r="F333" t="s">
        <v>1633</v>
      </c>
      <c r="G333" t="s">
        <v>2110</v>
      </c>
      <c r="H333" s="2" t="s">
        <v>3871</v>
      </c>
      <c r="I333" t="s">
        <v>2120</v>
      </c>
      <c r="J333">
        <v>12658.72</v>
      </c>
      <c r="K333">
        <v>131789.92000000001</v>
      </c>
      <c r="L333">
        <v>151558.41</v>
      </c>
      <c r="M333" t="s">
        <v>2116</v>
      </c>
      <c r="N333" t="s">
        <v>19</v>
      </c>
      <c r="O333" t="s">
        <v>19</v>
      </c>
      <c r="P333" t="s">
        <v>2117</v>
      </c>
      <c r="Q333">
        <v>1</v>
      </c>
      <c r="R333" t="s">
        <v>3876</v>
      </c>
    </row>
    <row r="334" spans="1:18" x14ac:dyDescent="0.2">
      <c r="A334" t="s">
        <v>2123</v>
      </c>
      <c r="B334" t="s">
        <v>2124</v>
      </c>
      <c r="C334" t="s">
        <v>2125</v>
      </c>
      <c r="D334" t="s">
        <v>2125</v>
      </c>
      <c r="E334" t="s">
        <v>2126</v>
      </c>
      <c r="F334" t="s">
        <v>1684</v>
      </c>
      <c r="G334" t="s">
        <v>2127</v>
      </c>
      <c r="H334" t="s">
        <v>3872</v>
      </c>
      <c r="I334" t="s">
        <v>2128</v>
      </c>
      <c r="J334">
        <v>28147.200000000001</v>
      </c>
      <c r="K334">
        <v>12658.72</v>
      </c>
      <c r="L334">
        <v>14557.53</v>
      </c>
      <c r="M334" t="s">
        <v>2121</v>
      </c>
      <c r="N334" t="s">
        <v>19</v>
      </c>
      <c r="O334" t="s">
        <v>19</v>
      </c>
      <c r="P334" t="s">
        <v>2122</v>
      </c>
      <c r="Q334">
        <v>5</v>
      </c>
      <c r="R334" t="s">
        <v>3876</v>
      </c>
    </row>
    <row r="335" spans="1:18" x14ac:dyDescent="0.2">
      <c r="A335" t="s">
        <v>2131</v>
      </c>
      <c r="B335" t="s">
        <v>127</v>
      </c>
      <c r="C335" t="s">
        <v>113</v>
      </c>
      <c r="D335" t="s">
        <v>131</v>
      </c>
      <c r="E335" t="s">
        <v>2132</v>
      </c>
      <c r="F335" t="s">
        <v>1684</v>
      </c>
      <c r="G335" t="s">
        <v>2127</v>
      </c>
      <c r="H335" t="s">
        <v>3872</v>
      </c>
      <c r="I335" t="s">
        <v>2054</v>
      </c>
      <c r="J335">
        <v>389548.3</v>
      </c>
      <c r="K335">
        <v>28147.200000000001</v>
      </c>
      <c r="L335">
        <v>32369.29</v>
      </c>
      <c r="M335" t="s">
        <v>2129</v>
      </c>
      <c r="N335" t="s">
        <v>19</v>
      </c>
      <c r="O335" t="s">
        <v>19</v>
      </c>
      <c r="P335" t="s">
        <v>2130</v>
      </c>
      <c r="Q335">
        <v>50</v>
      </c>
      <c r="R335" t="s">
        <v>3876</v>
      </c>
    </row>
    <row r="336" spans="1:18" x14ac:dyDescent="0.2">
      <c r="A336" t="s">
        <v>2135</v>
      </c>
      <c r="B336" t="s">
        <v>1658</v>
      </c>
      <c r="C336" t="s">
        <v>1659</v>
      </c>
      <c r="D336" t="s">
        <v>168</v>
      </c>
      <c r="E336" t="s">
        <v>2136</v>
      </c>
      <c r="F336" t="s">
        <v>2137</v>
      </c>
      <c r="G336" t="s">
        <v>2039</v>
      </c>
      <c r="H336" t="s">
        <v>3872</v>
      </c>
      <c r="I336" t="s">
        <v>2138</v>
      </c>
      <c r="J336">
        <v>2248.1</v>
      </c>
      <c r="K336">
        <v>389548.3</v>
      </c>
      <c r="L336">
        <v>447980.55</v>
      </c>
      <c r="M336" t="s">
        <v>2133</v>
      </c>
      <c r="N336" t="s">
        <v>19</v>
      </c>
      <c r="O336" t="s">
        <v>19</v>
      </c>
      <c r="P336" t="s">
        <v>2134</v>
      </c>
      <c r="Q336">
        <v>1</v>
      </c>
      <c r="R336" t="s">
        <v>3877</v>
      </c>
    </row>
    <row r="337" spans="1:18" x14ac:dyDescent="0.2">
      <c r="A337" t="s">
        <v>2141</v>
      </c>
      <c r="B337" t="s">
        <v>881</v>
      </c>
      <c r="C337" t="s">
        <v>14</v>
      </c>
      <c r="D337" t="s">
        <v>14</v>
      </c>
      <c r="E337" t="s">
        <v>2142</v>
      </c>
      <c r="F337" t="s">
        <v>2038</v>
      </c>
      <c r="G337" t="s">
        <v>2143</v>
      </c>
      <c r="H337" s="2" t="s">
        <v>3871</v>
      </c>
      <c r="I337" t="s">
        <v>2120</v>
      </c>
      <c r="J337">
        <v>1915.29</v>
      </c>
      <c r="K337">
        <v>2248.1</v>
      </c>
      <c r="L337">
        <v>2585.3200000000002</v>
      </c>
      <c r="M337" t="s">
        <v>2139</v>
      </c>
      <c r="N337" t="s">
        <v>19</v>
      </c>
      <c r="O337" t="s">
        <v>18</v>
      </c>
      <c r="P337" t="s">
        <v>2140</v>
      </c>
      <c r="Q337">
        <v>1</v>
      </c>
      <c r="R337" t="s">
        <v>3876</v>
      </c>
    </row>
    <row r="338" spans="1:18" x14ac:dyDescent="0.2">
      <c r="A338" t="s">
        <v>2146</v>
      </c>
      <c r="B338" t="s">
        <v>127</v>
      </c>
      <c r="C338" t="s">
        <v>121</v>
      </c>
      <c r="D338" t="s">
        <v>130</v>
      </c>
      <c r="E338" t="s">
        <v>2147</v>
      </c>
      <c r="F338" t="s">
        <v>2038</v>
      </c>
      <c r="G338" t="s">
        <v>2143</v>
      </c>
      <c r="H338" t="s">
        <v>3872</v>
      </c>
      <c r="I338" t="s">
        <v>2148</v>
      </c>
      <c r="J338">
        <v>375820.94</v>
      </c>
      <c r="K338">
        <v>1915.29</v>
      </c>
      <c r="L338">
        <v>2202.58</v>
      </c>
      <c r="M338" t="s">
        <v>2144</v>
      </c>
      <c r="N338" t="s">
        <v>19</v>
      </c>
      <c r="O338" t="s">
        <v>19</v>
      </c>
      <c r="P338" t="s">
        <v>2145</v>
      </c>
      <c r="Q338">
        <v>51</v>
      </c>
      <c r="R338" t="s">
        <v>3876</v>
      </c>
    </row>
    <row r="339" spans="1:18" x14ac:dyDescent="0.2">
      <c r="A339" t="s">
        <v>2151</v>
      </c>
      <c r="B339" t="s">
        <v>2152</v>
      </c>
      <c r="C339" t="s">
        <v>1853</v>
      </c>
      <c r="D339" t="s">
        <v>2153</v>
      </c>
      <c r="E339" t="s">
        <v>2154</v>
      </c>
      <c r="F339" t="s">
        <v>2038</v>
      </c>
      <c r="G339" t="s">
        <v>2143</v>
      </c>
      <c r="H339" s="2" t="s">
        <v>3871</v>
      </c>
      <c r="I339" t="s">
        <v>2155</v>
      </c>
      <c r="J339">
        <v>67955.62</v>
      </c>
      <c r="K339">
        <v>375820.94</v>
      </c>
      <c r="L339">
        <v>432194.09</v>
      </c>
      <c r="M339" t="s">
        <v>2149</v>
      </c>
      <c r="N339" t="s">
        <v>19</v>
      </c>
      <c r="O339" t="s">
        <v>19</v>
      </c>
      <c r="P339" t="s">
        <v>2150</v>
      </c>
      <c r="Q339">
        <v>37</v>
      </c>
      <c r="R339" t="s">
        <v>3876</v>
      </c>
    </row>
    <row r="340" spans="1:18" x14ac:dyDescent="0.2">
      <c r="A340" t="s">
        <v>2158</v>
      </c>
      <c r="B340" t="s">
        <v>1029</v>
      </c>
      <c r="C340" t="s">
        <v>121</v>
      </c>
      <c r="D340" t="s">
        <v>1031</v>
      </c>
      <c r="E340" t="s">
        <v>2159</v>
      </c>
      <c r="F340" t="s">
        <v>2160</v>
      </c>
      <c r="G340" t="s">
        <v>2161</v>
      </c>
      <c r="H340" t="s">
        <v>3872</v>
      </c>
      <c r="I340" t="s">
        <v>2040</v>
      </c>
      <c r="J340">
        <v>19217.439999999999</v>
      </c>
      <c r="K340">
        <v>67955.62</v>
      </c>
      <c r="L340">
        <v>78148.960000000006</v>
      </c>
      <c r="M340" t="s">
        <v>2156</v>
      </c>
      <c r="N340" t="s">
        <v>19</v>
      </c>
      <c r="O340" t="s">
        <v>19</v>
      </c>
      <c r="P340" t="s">
        <v>2157</v>
      </c>
      <c r="Q340">
        <v>2</v>
      </c>
      <c r="R340" t="s">
        <v>3876</v>
      </c>
    </row>
    <row r="341" spans="1:18" x14ac:dyDescent="0.2">
      <c r="A341" t="s">
        <v>2164</v>
      </c>
      <c r="B341" t="s">
        <v>245</v>
      </c>
      <c r="C341" t="s">
        <v>553</v>
      </c>
      <c r="D341" t="s">
        <v>553</v>
      </c>
      <c r="E341" t="s">
        <v>2165</v>
      </c>
      <c r="F341" t="s">
        <v>2160</v>
      </c>
      <c r="G341" t="s">
        <v>2161</v>
      </c>
      <c r="H341" t="s">
        <v>3872</v>
      </c>
      <c r="I341" t="s">
        <v>2166</v>
      </c>
      <c r="J341">
        <v>4619</v>
      </c>
      <c r="K341">
        <v>19217.439999999999</v>
      </c>
      <c r="L341">
        <v>22100.06</v>
      </c>
      <c r="M341" t="s">
        <v>2162</v>
      </c>
      <c r="N341" t="s">
        <v>19</v>
      </c>
      <c r="O341" t="s">
        <v>15</v>
      </c>
      <c r="P341" t="s">
        <v>2163</v>
      </c>
      <c r="Q341">
        <v>0</v>
      </c>
      <c r="R341" t="s">
        <v>3878</v>
      </c>
    </row>
    <row r="342" spans="1:18" x14ac:dyDescent="0.2">
      <c r="A342" t="s">
        <v>2169</v>
      </c>
      <c r="B342" t="s">
        <v>1314</v>
      </c>
      <c r="C342" t="s">
        <v>1950</v>
      </c>
      <c r="D342" t="s">
        <v>1950</v>
      </c>
      <c r="E342" t="s">
        <v>2170</v>
      </c>
      <c r="F342" t="s">
        <v>2160</v>
      </c>
      <c r="G342" t="s">
        <v>2161</v>
      </c>
      <c r="H342" t="s">
        <v>3872</v>
      </c>
      <c r="I342" t="s">
        <v>2171</v>
      </c>
      <c r="J342">
        <v>35922.76</v>
      </c>
      <c r="K342">
        <v>4619</v>
      </c>
      <c r="L342">
        <v>5311.85</v>
      </c>
      <c r="M342" t="s">
        <v>2167</v>
      </c>
      <c r="N342" t="s">
        <v>19</v>
      </c>
      <c r="O342" t="s">
        <v>19</v>
      </c>
      <c r="P342" t="s">
        <v>2168</v>
      </c>
      <c r="Q342">
        <v>3</v>
      </c>
      <c r="R342" t="s">
        <v>3880</v>
      </c>
    </row>
    <row r="343" spans="1:18" x14ac:dyDescent="0.2">
      <c r="A343" t="s">
        <v>2174</v>
      </c>
      <c r="B343" t="s">
        <v>74</v>
      </c>
      <c r="C343" t="s">
        <v>76</v>
      </c>
      <c r="D343" t="s">
        <v>76</v>
      </c>
      <c r="E343" t="s">
        <v>2175</v>
      </c>
      <c r="F343" t="s">
        <v>2160</v>
      </c>
      <c r="G343" t="s">
        <v>2161</v>
      </c>
      <c r="H343" t="s">
        <v>3872</v>
      </c>
      <c r="I343" t="s">
        <v>2176</v>
      </c>
      <c r="J343">
        <v>1822.48</v>
      </c>
      <c r="K343">
        <v>35922.76</v>
      </c>
      <c r="L343">
        <v>41311.18</v>
      </c>
      <c r="M343" t="s">
        <v>2172</v>
      </c>
      <c r="N343" t="s">
        <v>19</v>
      </c>
      <c r="O343" t="s">
        <v>19</v>
      </c>
      <c r="P343" t="s">
        <v>2173</v>
      </c>
      <c r="Q343">
        <v>1</v>
      </c>
      <c r="R343" t="s">
        <v>3877</v>
      </c>
    </row>
    <row r="344" spans="1:18" x14ac:dyDescent="0.2">
      <c r="A344" t="s">
        <v>2179</v>
      </c>
      <c r="B344" t="s">
        <v>198</v>
      </c>
      <c r="C344" t="s">
        <v>1492</v>
      </c>
      <c r="D344" t="s">
        <v>1492</v>
      </c>
      <c r="E344" t="s">
        <v>2180</v>
      </c>
      <c r="F344" t="s">
        <v>2160</v>
      </c>
      <c r="G344" t="s">
        <v>2181</v>
      </c>
      <c r="H344" t="s">
        <v>3872</v>
      </c>
      <c r="I344" t="s">
        <v>1493</v>
      </c>
      <c r="J344">
        <v>222878.96</v>
      </c>
      <c r="K344">
        <v>1822.48</v>
      </c>
      <c r="L344">
        <v>2095.85</v>
      </c>
      <c r="M344" t="s">
        <v>2177</v>
      </c>
      <c r="N344" t="s">
        <v>19</v>
      </c>
      <c r="O344" t="s">
        <v>19</v>
      </c>
      <c r="P344" t="s">
        <v>2178</v>
      </c>
      <c r="Q344">
        <v>64</v>
      </c>
      <c r="R344" t="s">
        <v>3877</v>
      </c>
    </row>
    <row r="345" spans="1:18" x14ac:dyDescent="0.2">
      <c r="A345" t="s">
        <v>2184</v>
      </c>
      <c r="B345" t="s">
        <v>1737</v>
      </c>
      <c r="C345" t="s">
        <v>2185</v>
      </c>
      <c r="D345" t="s">
        <v>2186</v>
      </c>
      <c r="E345" t="s">
        <v>1046</v>
      </c>
      <c r="F345" t="s">
        <v>2160</v>
      </c>
      <c r="G345" t="s">
        <v>2161</v>
      </c>
      <c r="H345" s="2" t="s">
        <v>3871</v>
      </c>
      <c r="I345" t="s">
        <v>2187</v>
      </c>
      <c r="J345">
        <v>3312.54</v>
      </c>
      <c r="K345">
        <v>222878.96</v>
      </c>
      <c r="L345">
        <v>256310.8</v>
      </c>
      <c r="M345" t="s">
        <v>2182</v>
      </c>
      <c r="N345" t="s">
        <v>19</v>
      </c>
      <c r="O345" t="s">
        <v>19</v>
      </c>
      <c r="P345" t="s">
        <v>2183</v>
      </c>
      <c r="Q345">
        <v>1</v>
      </c>
      <c r="R345" t="s">
        <v>3877</v>
      </c>
    </row>
    <row r="346" spans="1:18" x14ac:dyDescent="0.2">
      <c r="A346" t="s">
        <v>2190</v>
      </c>
      <c r="B346" t="s">
        <v>1078</v>
      </c>
      <c r="C346" t="s">
        <v>1078</v>
      </c>
      <c r="D346" t="s">
        <v>1078</v>
      </c>
      <c r="E346" t="s">
        <v>2191</v>
      </c>
      <c r="F346" t="s">
        <v>1498</v>
      </c>
      <c r="G346" t="s">
        <v>2192</v>
      </c>
      <c r="H346" t="s">
        <v>3872</v>
      </c>
      <c r="I346" t="s">
        <v>2193</v>
      </c>
      <c r="J346">
        <v>4821</v>
      </c>
      <c r="K346">
        <v>3312.54</v>
      </c>
      <c r="L346">
        <v>3809.42</v>
      </c>
      <c r="M346" t="s">
        <v>2188</v>
      </c>
      <c r="N346" t="s">
        <v>19</v>
      </c>
      <c r="O346" t="s">
        <v>19</v>
      </c>
      <c r="P346" t="s">
        <v>2189</v>
      </c>
      <c r="Q346">
        <v>0</v>
      </c>
      <c r="R346" t="s">
        <v>3877</v>
      </c>
    </row>
    <row r="347" spans="1:18" x14ac:dyDescent="0.2">
      <c r="A347" t="s">
        <v>2196</v>
      </c>
      <c r="B347" t="s">
        <v>2197</v>
      </c>
      <c r="C347" t="s">
        <v>14</v>
      </c>
      <c r="D347" t="s">
        <v>14</v>
      </c>
      <c r="E347" t="s">
        <v>2198</v>
      </c>
      <c r="F347" t="s">
        <v>1784</v>
      </c>
      <c r="G347" t="s">
        <v>2199</v>
      </c>
      <c r="H347" t="s">
        <v>3872</v>
      </c>
      <c r="I347" t="s">
        <v>2200</v>
      </c>
      <c r="J347">
        <v>21464.080000000002</v>
      </c>
      <c r="K347">
        <v>4821</v>
      </c>
      <c r="L347">
        <v>5544.15</v>
      </c>
      <c r="M347" t="s">
        <v>2194</v>
      </c>
      <c r="N347" t="s">
        <v>19</v>
      </c>
      <c r="O347" t="s">
        <v>19</v>
      </c>
      <c r="P347" t="s">
        <v>2195</v>
      </c>
      <c r="Q347">
        <v>3</v>
      </c>
      <c r="R347" t="s">
        <v>3876</v>
      </c>
    </row>
    <row r="348" spans="1:18" x14ac:dyDescent="0.2">
      <c r="A348" t="s">
        <v>2203</v>
      </c>
      <c r="B348" t="s">
        <v>311</v>
      </c>
      <c r="C348" t="s">
        <v>2204</v>
      </c>
      <c r="D348" t="s">
        <v>2205</v>
      </c>
      <c r="E348" t="s">
        <v>2206</v>
      </c>
      <c r="F348" t="s">
        <v>1784</v>
      </c>
      <c r="G348" t="s">
        <v>2199</v>
      </c>
      <c r="H348" t="s">
        <v>3872</v>
      </c>
      <c r="I348" t="s">
        <v>2207</v>
      </c>
      <c r="J348">
        <v>1725</v>
      </c>
      <c r="K348">
        <v>21464.080000000002</v>
      </c>
      <c r="L348">
        <v>24683.71</v>
      </c>
      <c r="M348" t="s">
        <v>2201</v>
      </c>
      <c r="N348" t="s">
        <v>19</v>
      </c>
      <c r="O348" t="s">
        <v>145</v>
      </c>
      <c r="P348" t="s">
        <v>2202</v>
      </c>
      <c r="Q348">
        <v>0</v>
      </c>
      <c r="R348" t="s">
        <v>3877</v>
      </c>
    </row>
    <row r="349" spans="1:18" x14ac:dyDescent="0.2">
      <c r="A349" t="s">
        <v>2210</v>
      </c>
      <c r="B349" t="s">
        <v>74</v>
      </c>
      <c r="C349" t="s">
        <v>76</v>
      </c>
      <c r="D349" t="s">
        <v>77</v>
      </c>
      <c r="E349" t="s">
        <v>2211</v>
      </c>
      <c r="F349" t="s">
        <v>1867</v>
      </c>
      <c r="G349" t="s">
        <v>2212</v>
      </c>
      <c r="H349" t="s">
        <v>3872</v>
      </c>
      <c r="I349" t="s">
        <v>2213</v>
      </c>
      <c r="J349">
        <v>1822.48</v>
      </c>
      <c r="K349">
        <v>1725</v>
      </c>
      <c r="L349">
        <v>1983.75</v>
      </c>
      <c r="M349" t="s">
        <v>2208</v>
      </c>
      <c r="N349" t="s">
        <v>19</v>
      </c>
      <c r="O349" t="s">
        <v>19</v>
      </c>
      <c r="P349" t="s">
        <v>2209</v>
      </c>
      <c r="Q349">
        <v>1</v>
      </c>
      <c r="R349" t="s">
        <v>3877</v>
      </c>
    </row>
    <row r="350" spans="1:18" x14ac:dyDescent="0.2">
      <c r="A350" t="s">
        <v>2216</v>
      </c>
      <c r="B350" t="s">
        <v>690</v>
      </c>
      <c r="C350" t="s">
        <v>692</v>
      </c>
      <c r="D350" t="s">
        <v>692</v>
      </c>
      <c r="E350" t="s">
        <v>2217</v>
      </c>
      <c r="F350" t="s">
        <v>1726</v>
      </c>
      <c r="G350" t="s">
        <v>2199</v>
      </c>
      <c r="H350" t="s">
        <v>3872</v>
      </c>
      <c r="I350" t="s">
        <v>2218</v>
      </c>
      <c r="J350">
        <v>1501.07</v>
      </c>
      <c r="K350">
        <v>1822.48</v>
      </c>
      <c r="L350">
        <v>2095.85</v>
      </c>
      <c r="M350" t="s">
        <v>2214</v>
      </c>
      <c r="N350" t="s">
        <v>19</v>
      </c>
      <c r="O350" t="s">
        <v>19</v>
      </c>
      <c r="P350" t="s">
        <v>2215</v>
      </c>
      <c r="Q350">
        <v>0</v>
      </c>
      <c r="R350" t="s">
        <v>3876</v>
      </c>
    </row>
    <row r="351" spans="1:18" x14ac:dyDescent="0.2">
      <c r="A351" t="s">
        <v>2221</v>
      </c>
      <c r="B351" t="s">
        <v>2222</v>
      </c>
      <c r="C351" t="s">
        <v>2224</v>
      </c>
      <c r="D351" t="s">
        <v>2223</v>
      </c>
      <c r="E351" t="s">
        <v>2225</v>
      </c>
      <c r="F351" t="s">
        <v>1726</v>
      </c>
      <c r="G351" t="s">
        <v>2226</v>
      </c>
      <c r="H351" t="s">
        <v>3872</v>
      </c>
      <c r="I351" t="s">
        <v>2227</v>
      </c>
      <c r="J351">
        <v>4619</v>
      </c>
      <c r="K351">
        <v>1501.07</v>
      </c>
      <c r="L351">
        <v>1726.23</v>
      </c>
      <c r="M351" t="s">
        <v>2219</v>
      </c>
      <c r="N351" t="s">
        <v>19</v>
      </c>
      <c r="O351" t="s">
        <v>19</v>
      </c>
      <c r="P351" t="s">
        <v>2220</v>
      </c>
      <c r="Q351">
        <v>0</v>
      </c>
      <c r="R351" t="s">
        <v>3876</v>
      </c>
    </row>
    <row r="352" spans="1:18" x14ac:dyDescent="0.2">
      <c r="A352" t="s">
        <v>2230</v>
      </c>
      <c r="B352" t="s">
        <v>970</v>
      </c>
      <c r="C352" t="s">
        <v>113</v>
      </c>
      <c r="D352" t="s">
        <v>447</v>
      </c>
      <c r="E352" t="s">
        <v>2231</v>
      </c>
      <c r="F352" t="s">
        <v>1726</v>
      </c>
      <c r="G352" t="s">
        <v>2226</v>
      </c>
      <c r="H352" t="s">
        <v>3872</v>
      </c>
      <c r="I352" t="s">
        <v>971</v>
      </c>
      <c r="J352">
        <v>41324.080000000002</v>
      </c>
      <c r="K352">
        <v>4619</v>
      </c>
      <c r="L352">
        <v>5311.85</v>
      </c>
      <c r="M352" t="s">
        <v>2228</v>
      </c>
      <c r="N352" t="s">
        <v>19</v>
      </c>
      <c r="O352" t="s">
        <v>19</v>
      </c>
      <c r="P352" t="s">
        <v>2229</v>
      </c>
      <c r="Q352">
        <v>13</v>
      </c>
      <c r="R352" t="s">
        <v>3880</v>
      </c>
    </row>
    <row r="353" spans="1:18" x14ac:dyDescent="0.2">
      <c r="A353" t="s">
        <v>2234</v>
      </c>
      <c r="B353" t="s">
        <v>1371</v>
      </c>
      <c r="C353" t="s">
        <v>2235</v>
      </c>
      <c r="D353" t="s">
        <v>2235</v>
      </c>
      <c r="E353" t="s">
        <v>2236</v>
      </c>
      <c r="F353" t="s">
        <v>2181</v>
      </c>
      <c r="G353" t="s">
        <v>2237</v>
      </c>
      <c r="H353" t="s">
        <v>3872</v>
      </c>
      <c r="I353" t="s">
        <v>2238</v>
      </c>
      <c r="J353">
        <v>28367.38</v>
      </c>
      <c r="K353">
        <v>41324.080000000002</v>
      </c>
      <c r="L353">
        <v>47522.65</v>
      </c>
      <c r="M353" t="s">
        <v>2232</v>
      </c>
      <c r="N353" t="s">
        <v>19</v>
      </c>
      <c r="O353" t="s">
        <v>19</v>
      </c>
      <c r="P353" t="s">
        <v>2233</v>
      </c>
      <c r="Q353">
        <v>6</v>
      </c>
      <c r="R353" t="s">
        <v>3876</v>
      </c>
    </row>
    <row r="354" spans="1:18" x14ac:dyDescent="0.2">
      <c r="A354" t="s">
        <v>2241</v>
      </c>
      <c r="B354" t="s">
        <v>245</v>
      </c>
      <c r="C354" t="s">
        <v>558</v>
      </c>
      <c r="D354" t="s">
        <v>559</v>
      </c>
      <c r="E354" t="s">
        <v>2242</v>
      </c>
      <c r="F354" t="s">
        <v>1726</v>
      </c>
      <c r="G354" t="s">
        <v>2226</v>
      </c>
      <c r="H354" t="s">
        <v>3872</v>
      </c>
      <c r="I354" t="s">
        <v>2243</v>
      </c>
      <c r="J354">
        <v>4061.05</v>
      </c>
      <c r="K354">
        <v>28367.38</v>
      </c>
      <c r="L354">
        <v>32622.49</v>
      </c>
      <c r="M354" t="s">
        <v>2239</v>
      </c>
      <c r="N354" t="s">
        <v>19</v>
      </c>
      <c r="O354" t="s">
        <v>19</v>
      </c>
      <c r="P354" t="s">
        <v>2240</v>
      </c>
      <c r="Q354">
        <v>0</v>
      </c>
      <c r="R354" t="s">
        <v>3877</v>
      </c>
    </row>
    <row r="355" spans="1:18" x14ac:dyDescent="0.2">
      <c r="A355" t="s">
        <v>2246</v>
      </c>
      <c r="B355" t="s">
        <v>505</v>
      </c>
      <c r="C355" t="s">
        <v>2247</v>
      </c>
      <c r="D355" t="s">
        <v>168</v>
      </c>
      <c r="E355" t="s">
        <v>2248</v>
      </c>
      <c r="F355" t="s">
        <v>1482</v>
      </c>
      <c r="G355" t="s">
        <v>2212</v>
      </c>
      <c r="H355" t="s">
        <v>3872</v>
      </c>
      <c r="I355" t="s">
        <v>2249</v>
      </c>
      <c r="J355">
        <v>3890</v>
      </c>
      <c r="K355">
        <v>4061.05</v>
      </c>
      <c r="L355">
        <v>4670.21</v>
      </c>
      <c r="M355" t="s">
        <v>2244</v>
      </c>
      <c r="N355" t="s">
        <v>19</v>
      </c>
      <c r="O355" t="s">
        <v>19</v>
      </c>
      <c r="P355" t="s">
        <v>2245</v>
      </c>
      <c r="Q355">
        <v>0</v>
      </c>
      <c r="R355" t="s">
        <v>3876</v>
      </c>
    </row>
    <row r="356" spans="1:18" x14ac:dyDescent="0.2">
      <c r="A356" t="s">
        <v>2252</v>
      </c>
      <c r="B356" t="s">
        <v>505</v>
      </c>
      <c r="C356" t="s">
        <v>2253</v>
      </c>
      <c r="D356" t="s">
        <v>2253</v>
      </c>
      <c r="E356" t="s">
        <v>2254</v>
      </c>
      <c r="F356" t="s">
        <v>2255</v>
      </c>
      <c r="G356" t="s">
        <v>2256</v>
      </c>
      <c r="H356" t="s">
        <v>3872</v>
      </c>
      <c r="I356" t="s">
        <v>2257</v>
      </c>
      <c r="J356">
        <v>2290</v>
      </c>
      <c r="K356">
        <v>3890</v>
      </c>
      <c r="L356">
        <v>4473.5</v>
      </c>
      <c r="M356" t="s">
        <v>2250</v>
      </c>
      <c r="N356" t="s">
        <v>19</v>
      </c>
      <c r="O356" t="s">
        <v>19</v>
      </c>
      <c r="P356" t="s">
        <v>2251</v>
      </c>
      <c r="Q356">
        <v>0</v>
      </c>
      <c r="R356" t="s">
        <v>3877</v>
      </c>
    </row>
    <row r="357" spans="1:18" x14ac:dyDescent="0.2">
      <c r="A357" t="s">
        <v>2260</v>
      </c>
      <c r="B357" t="s">
        <v>970</v>
      </c>
      <c r="C357" t="s">
        <v>972</v>
      </c>
      <c r="D357" t="s">
        <v>972</v>
      </c>
      <c r="E357" t="s">
        <v>2261</v>
      </c>
      <c r="F357" t="s">
        <v>2181</v>
      </c>
      <c r="G357" t="s">
        <v>2212</v>
      </c>
      <c r="H357" t="s">
        <v>3872</v>
      </c>
      <c r="I357" t="s">
        <v>971</v>
      </c>
      <c r="J357">
        <v>2035.29</v>
      </c>
      <c r="K357">
        <v>2290</v>
      </c>
      <c r="L357">
        <v>2633.5</v>
      </c>
      <c r="M357" t="s">
        <v>2258</v>
      </c>
      <c r="N357" t="s">
        <v>19</v>
      </c>
      <c r="O357" t="s">
        <v>19</v>
      </c>
      <c r="P357" t="s">
        <v>2259</v>
      </c>
      <c r="Q357">
        <v>1</v>
      </c>
      <c r="R357" t="s">
        <v>3876</v>
      </c>
    </row>
    <row r="358" spans="1:18" x14ac:dyDescent="0.2">
      <c r="A358" t="s">
        <v>2264</v>
      </c>
      <c r="B358" t="s">
        <v>836</v>
      </c>
      <c r="C358" t="s">
        <v>838</v>
      </c>
      <c r="D358" t="s">
        <v>168</v>
      </c>
      <c r="E358" t="s">
        <v>2265</v>
      </c>
      <c r="F358" t="s">
        <v>1867</v>
      </c>
      <c r="G358" t="s">
        <v>1483</v>
      </c>
      <c r="H358" t="s">
        <v>3872</v>
      </c>
      <c r="I358" t="s">
        <v>2266</v>
      </c>
      <c r="J358">
        <v>5746.1</v>
      </c>
      <c r="K358">
        <v>2035.29</v>
      </c>
      <c r="L358">
        <v>2340.58</v>
      </c>
      <c r="M358" t="s">
        <v>2262</v>
      </c>
      <c r="N358" t="s">
        <v>19</v>
      </c>
      <c r="O358" t="s">
        <v>19</v>
      </c>
      <c r="P358" t="s">
        <v>2263</v>
      </c>
      <c r="Q358">
        <v>1</v>
      </c>
      <c r="R358" t="s">
        <v>3877</v>
      </c>
    </row>
    <row r="359" spans="1:18" x14ac:dyDescent="0.2">
      <c r="A359" t="s">
        <v>2269</v>
      </c>
      <c r="B359" t="s">
        <v>1300</v>
      </c>
      <c r="C359" t="s">
        <v>2270</v>
      </c>
      <c r="D359" t="s">
        <v>2270</v>
      </c>
      <c r="E359" t="s">
        <v>2271</v>
      </c>
      <c r="F359" t="s">
        <v>1482</v>
      </c>
      <c r="G359" t="s">
        <v>1483</v>
      </c>
      <c r="H359" t="s">
        <v>3872</v>
      </c>
      <c r="I359" t="s">
        <v>2272</v>
      </c>
      <c r="J359">
        <v>2419.2600000000002</v>
      </c>
      <c r="K359">
        <v>5746.1</v>
      </c>
      <c r="L359">
        <v>6608.02</v>
      </c>
      <c r="M359" t="s">
        <v>2267</v>
      </c>
      <c r="N359" t="s">
        <v>19</v>
      </c>
      <c r="O359" t="s">
        <v>19</v>
      </c>
      <c r="P359" t="s">
        <v>2268</v>
      </c>
      <c r="Q359">
        <v>0</v>
      </c>
      <c r="R359" t="s">
        <v>3876</v>
      </c>
    </row>
    <row r="360" spans="1:18" x14ac:dyDescent="0.2">
      <c r="A360" t="s">
        <v>2275</v>
      </c>
      <c r="B360" t="s">
        <v>311</v>
      </c>
      <c r="C360" t="s">
        <v>2276</v>
      </c>
      <c r="D360" t="s">
        <v>168</v>
      </c>
      <c r="E360" t="s">
        <v>2277</v>
      </c>
      <c r="F360" t="s">
        <v>1867</v>
      </c>
      <c r="G360" t="s">
        <v>2278</v>
      </c>
      <c r="H360" t="s">
        <v>3872</v>
      </c>
      <c r="I360" t="s">
        <v>312</v>
      </c>
      <c r="J360">
        <v>6449.36</v>
      </c>
      <c r="K360">
        <v>2419.2600000000002</v>
      </c>
      <c r="L360">
        <v>2782.15</v>
      </c>
      <c r="M360" t="s">
        <v>2273</v>
      </c>
      <c r="N360" t="s">
        <v>19</v>
      </c>
      <c r="O360" t="s">
        <v>19</v>
      </c>
      <c r="P360" t="s">
        <v>2274</v>
      </c>
      <c r="Q360">
        <v>1</v>
      </c>
      <c r="R360" t="s">
        <v>3880</v>
      </c>
    </row>
    <row r="361" spans="1:18" x14ac:dyDescent="0.2">
      <c r="A361" t="s">
        <v>2281</v>
      </c>
      <c r="B361" t="s">
        <v>245</v>
      </c>
      <c r="C361" t="s">
        <v>553</v>
      </c>
      <c r="D361" t="s">
        <v>553</v>
      </c>
      <c r="E361" t="s">
        <v>2282</v>
      </c>
      <c r="F361" t="s">
        <v>1867</v>
      </c>
      <c r="G361" t="s">
        <v>2278</v>
      </c>
      <c r="H361" t="s">
        <v>3872</v>
      </c>
      <c r="I361" t="s">
        <v>246</v>
      </c>
      <c r="J361">
        <v>8394.65</v>
      </c>
      <c r="K361">
        <v>6449.36</v>
      </c>
      <c r="L361">
        <v>7416.76</v>
      </c>
      <c r="M361" t="s">
        <v>2279</v>
      </c>
      <c r="N361" t="s">
        <v>19</v>
      </c>
      <c r="O361" t="s">
        <v>19</v>
      </c>
      <c r="P361" t="s">
        <v>2280</v>
      </c>
      <c r="Q361">
        <v>2</v>
      </c>
      <c r="R361" t="s">
        <v>3880</v>
      </c>
    </row>
    <row r="362" spans="1:18" x14ac:dyDescent="0.2">
      <c r="A362" t="s">
        <v>2284</v>
      </c>
      <c r="B362" t="s">
        <v>2285</v>
      </c>
      <c r="C362" t="s">
        <v>2287</v>
      </c>
      <c r="D362" t="s">
        <v>2288</v>
      </c>
      <c r="E362" t="s">
        <v>2289</v>
      </c>
      <c r="F362" t="s">
        <v>1867</v>
      </c>
      <c r="G362" t="s">
        <v>2278</v>
      </c>
      <c r="H362" t="s">
        <v>3872</v>
      </c>
      <c r="I362" t="s">
        <v>2290</v>
      </c>
      <c r="J362">
        <v>26060.27</v>
      </c>
      <c r="K362">
        <v>8394.65</v>
      </c>
      <c r="L362">
        <v>9653.84</v>
      </c>
      <c r="M362" t="s">
        <v>2283</v>
      </c>
      <c r="N362" t="s">
        <v>19</v>
      </c>
      <c r="O362" t="s">
        <v>19</v>
      </c>
      <c r="P362" t="s">
        <v>2283</v>
      </c>
      <c r="Q362">
        <v>0</v>
      </c>
      <c r="R362" t="s">
        <v>3876</v>
      </c>
    </row>
    <row r="363" spans="1:18" x14ac:dyDescent="0.2">
      <c r="A363" t="s">
        <v>2293</v>
      </c>
      <c r="B363" t="s">
        <v>2007</v>
      </c>
      <c r="C363" t="s">
        <v>2008</v>
      </c>
      <c r="D363" t="s">
        <v>2008</v>
      </c>
      <c r="E363" t="s">
        <v>2294</v>
      </c>
      <c r="F363" t="s">
        <v>1867</v>
      </c>
      <c r="G363" t="s">
        <v>2278</v>
      </c>
      <c r="H363" t="s">
        <v>3872</v>
      </c>
      <c r="I363" t="s">
        <v>2295</v>
      </c>
      <c r="J363">
        <v>2419.2600000000002</v>
      </c>
      <c r="K363">
        <v>26060.27</v>
      </c>
      <c r="L363">
        <v>29969.31</v>
      </c>
      <c r="M363" t="s">
        <v>2291</v>
      </c>
      <c r="N363" t="s">
        <v>19</v>
      </c>
      <c r="O363" t="s">
        <v>19</v>
      </c>
      <c r="P363" t="s">
        <v>2292</v>
      </c>
      <c r="Q363">
        <v>0</v>
      </c>
      <c r="R363" t="s">
        <v>3876</v>
      </c>
    </row>
    <row r="364" spans="1:18" x14ac:dyDescent="0.2">
      <c r="A364" t="s">
        <v>2298</v>
      </c>
      <c r="B364" t="s">
        <v>718</v>
      </c>
      <c r="C364" t="s">
        <v>113</v>
      </c>
      <c r="D364" t="s">
        <v>720</v>
      </c>
      <c r="E364" t="s">
        <v>2299</v>
      </c>
      <c r="F364" t="s">
        <v>2255</v>
      </c>
      <c r="G364" t="s">
        <v>1081</v>
      </c>
      <c r="H364" t="s">
        <v>3872</v>
      </c>
      <c r="I364" t="s">
        <v>2300</v>
      </c>
      <c r="J364">
        <v>3980.58</v>
      </c>
      <c r="K364">
        <v>2419.2600000000002</v>
      </c>
      <c r="L364">
        <v>2782.15</v>
      </c>
      <c r="M364" t="s">
        <v>2296</v>
      </c>
      <c r="N364" t="s">
        <v>19</v>
      </c>
      <c r="O364" t="s">
        <v>19</v>
      </c>
      <c r="P364" t="s">
        <v>2297</v>
      </c>
      <c r="Q364">
        <v>2</v>
      </c>
      <c r="R364" t="s">
        <v>3878</v>
      </c>
    </row>
    <row r="365" spans="1:18" x14ac:dyDescent="0.2">
      <c r="A365" t="s">
        <v>2303</v>
      </c>
      <c r="B365" t="s">
        <v>1237</v>
      </c>
      <c r="C365" t="s">
        <v>1238</v>
      </c>
      <c r="D365" t="s">
        <v>1238</v>
      </c>
      <c r="E365" t="s">
        <v>2304</v>
      </c>
      <c r="F365" t="s">
        <v>2255</v>
      </c>
      <c r="G365" t="s">
        <v>2256</v>
      </c>
      <c r="H365" t="s">
        <v>3872</v>
      </c>
      <c r="I365" t="s">
        <v>2305</v>
      </c>
      <c r="J365">
        <v>2035.29</v>
      </c>
      <c r="K365">
        <v>3980.58</v>
      </c>
      <c r="L365">
        <v>4577.67</v>
      </c>
      <c r="M365" t="s">
        <v>2301</v>
      </c>
      <c r="N365" t="s">
        <v>19</v>
      </c>
      <c r="O365" t="s">
        <v>772</v>
      </c>
      <c r="P365" t="s">
        <v>2302</v>
      </c>
      <c r="Q365">
        <v>1</v>
      </c>
      <c r="R365" t="s">
        <v>3877</v>
      </c>
    </row>
    <row r="366" spans="1:18" x14ac:dyDescent="0.2">
      <c r="A366" t="s">
        <v>2308</v>
      </c>
      <c r="B366" t="s">
        <v>1371</v>
      </c>
      <c r="C366" t="s">
        <v>2235</v>
      </c>
      <c r="D366" t="s">
        <v>2235</v>
      </c>
      <c r="E366" t="s">
        <v>2309</v>
      </c>
      <c r="F366" t="s">
        <v>1499</v>
      </c>
      <c r="G366" t="s">
        <v>2310</v>
      </c>
      <c r="H366" t="s">
        <v>3872</v>
      </c>
      <c r="I366" t="s">
        <v>2311</v>
      </c>
      <c r="J366">
        <v>46566.53</v>
      </c>
      <c r="K366">
        <v>2035.29</v>
      </c>
      <c r="L366">
        <v>2340.58</v>
      </c>
      <c r="M366" t="s">
        <v>2306</v>
      </c>
      <c r="N366" t="s">
        <v>19</v>
      </c>
      <c r="O366" t="s">
        <v>19</v>
      </c>
      <c r="P366" t="s">
        <v>2307</v>
      </c>
      <c r="Q366">
        <v>4</v>
      </c>
      <c r="R366" t="s">
        <v>3876</v>
      </c>
    </row>
    <row r="367" spans="1:18" x14ac:dyDescent="0.2">
      <c r="A367" t="s">
        <v>2314</v>
      </c>
      <c r="B367" t="s">
        <v>2315</v>
      </c>
      <c r="C367" t="s">
        <v>129</v>
      </c>
      <c r="D367" t="s">
        <v>2316</v>
      </c>
      <c r="E367" t="s">
        <v>2317</v>
      </c>
      <c r="F367" t="s">
        <v>1499</v>
      </c>
      <c r="G367" t="s">
        <v>2310</v>
      </c>
      <c r="H367" t="s">
        <v>3872</v>
      </c>
      <c r="I367" t="s">
        <v>2318</v>
      </c>
      <c r="J367">
        <v>45208.15</v>
      </c>
      <c r="K367">
        <v>46566.53</v>
      </c>
      <c r="L367">
        <v>53551.5</v>
      </c>
      <c r="M367" t="s">
        <v>2312</v>
      </c>
      <c r="N367" t="s">
        <v>19</v>
      </c>
      <c r="O367" t="s">
        <v>19</v>
      </c>
      <c r="P367" t="s">
        <v>2313</v>
      </c>
      <c r="Q367">
        <v>12</v>
      </c>
      <c r="R367" t="s">
        <v>3876</v>
      </c>
    </row>
    <row r="368" spans="1:18" x14ac:dyDescent="0.2">
      <c r="A368" t="s">
        <v>2321</v>
      </c>
      <c r="B368" t="s">
        <v>2322</v>
      </c>
      <c r="C368" t="s">
        <v>113</v>
      </c>
      <c r="D368" t="s">
        <v>2235</v>
      </c>
      <c r="E368" t="s">
        <v>2323</v>
      </c>
      <c r="F368" t="s">
        <v>1499</v>
      </c>
      <c r="G368" t="s">
        <v>2310</v>
      </c>
      <c r="H368" t="s">
        <v>3872</v>
      </c>
      <c r="I368" t="s">
        <v>2324</v>
      </c>
      <c r="J368">
        <v>106688.68</v>
      </c>
      <c r="K368">
        <v>45208.15</v>
      </c>
      <c r="L368">
        <v>51989.37</v>
      </c>
      <c r="M368" t="s">
        <v>2319</v>
      </c>
      <c r="N368" t="s">
        <v>19</v>
      </c>
      <c r="O368" t="s">
        <v>19</v>
      </c>
      <c r="P368" t="s">
        <v>2320</v>
      </c>
      <c r="Q368">
        <v>12</v>
      </c>
      <c r="R368" t="s">
        <v>3876</v>
      </c>
    </row>
    <row r="369" spans="1:18" x14ac:dyDescent="0.2">
      <c r="A369" t="s">
        <v>2327</v>
      </c>
      <c r="B369" t="s">
        <v>2328</v>
      </c>
      <c r="C369" t="s">
        <v>121</v>
      </c>
      <c r="D369" t="s">
        <v>2329</v>
      </c>
      <c r="E369" t="s">
        <v>2330</v>
      </c>
      <c r="F369" t="s">
        <v>1499</v>
      </c>
      <c r="G369" t="s">
        <v>2310</v>
      </c>
      <c r="H369" t="s">
        <v>3872</v>
      </c>
      <c r="I369" t="s">
        <v>2331</v>
      </c>
      <c r="J369">
        <v>64984.99</v>
      </c>
      <c r="K369">
        <v>106688.68</v>
      </c>
      <c r="L369">
        <v>122691.97</v>
      </c>
      <c r="M369" t="s">
        <v>2325</v>
      </c>
      <c r="N369" t="s">
        <v>19</v>
      </c>
      <c r="O369" t="s">
        <v>772</v>
      </c>
      <c r="P369" t="s">
        <v>2326</v>
      </c>
      <c r="Q369">
        <v>2</v>
      </c>
      <c r="R369" t="s">
        <v>3876</v>
      </c>
    </row>
    <row r="370" spans="1:18" x14ac:dyDescent="0.2">
      <c r="A370" t="s">
        <v>2334</v>
      </c>
      <c r="B370" t="s">
        <v>1899</v>
      </c>
      <c r="C370" t="s">
        <v>113</v>
      </c>
      <c r="D370" t="s">
        <v>1900</v>
      </c>
      <c r="E370" t="s">
        <v>2335</v>
      </c>
      <c r="F370" t="s">
        <v>1499</v>
      </c>
      <c r="G370" t="s">
        <v>2310</v>
      </c>
      <c r="H370" t="s">
        <v>3872</v>
      </c>
      <c r="I370" t="s">
        <v>2336</v>
      </c>
      <c r="J370">
        <v>6271.09</v>
      </c>
      <c r="K370">
        <v>64984.99</v>
      </c>
      <c r="L370">
        <v>74732.740000000005</v>
      </c>
      <c r="M370" t="s">
        <v>2332</v>
      </c>
      <c r="N370" t="s">
        <v>19</v>
      </c>
      <c r="O370" t="s">
        <v>19</v>
      </c>
      <c r="P370" t="s">
        <v>2333</v>
      </c>
      <c r="Q370">
        <v>1</v>
      </c>
      <c r="R370" t="s">
        <v>3876</v>
      </c>
    </row>
    <row r="371" spans="1:18" x14ac:dyDescent="0.2">
      <c r="A371" t="s">
        <v>2339</v>
      </c>
      <c r="B371" t="s">
        <v>2340</v>
      </c>
      <c r="C371" t="s">
        <v>2341</v>
      </c>
      <c r="D371" t="s">
        <v>2341</v>
      </c>
      <c r="E371" t="s">
        <v>2342</v>
      </c>
      <c r="F371" t="s">
        <v>1499</v>
      </c>
      <c r="G371" t="s">
        <v>2310</v>
      </c>
      <c r="H371" t="s">
        <v>3872</v>
      </c>
      <c r="I371" t="s">
        <v>2343</v>
      </c>
      <c r="J371">
        <v>5637.53</v>
      </c>
      <c r="K371">
        <v>6271.09</v>
      </c>
      <c r="L371">
        <v>7211.75</v>
      </c>
      <c r="M371" t="s">
        <v>2337</v>
      </c>
      <c r="N371" t="s">
        <v>19</v>
      </c>
      <c r="O371" t="s">
        <v>772</v>
      </c>
      <c r="P371" t="s">
        <v>2338</v>
      </c>
      <c r="Q371">
        <v>1</v>
      </c>
      <c r="R371" t="s">
        <v>3876</v>
      </c>
    </row>
    <row r="372" spans="1:18" x14ac:dyDescent="0.2">
      <c r="A372" t="s">
        <v>2346</v>
      </c>
      <c r="B372" t="s">
        <v>1029</v>
      </c>
      <c r="C372" t="s">
        <v>121</v>
      </c>
      <c r="D372" t="s">
        <v>1031</v>
      </c>
      <c r="E372" t="s">
        <v>2347</v>
      </c>
      <c r="F372" t="s">
        <v>1499</v>
      </c>
      <c r="G372" t="s">
        <v>2310</v>
      </c>
      <c r="H372" t="s">
        <v>3872</v>
      </c>
      <c r="I372" t="s">
        <v>2348</v>
      </c>
      <c r="J372">
        <v>30524.240000000002</v>
      </c>
      <c r="K372">
        <v>5637.53</v>
      </c>
      <c r="L372">
        <v>6483.16</v>
      </c>
      <c r="M372" t="s">
        <v>2344</v>
      </c>
      <c r="N372" t="s">
        <v>19</v>
      </c>
      <c r="O372" t="s">
        <v>19</v>
      </c>
      <c r="P372" t="s">
        <v>2345</v>
      </c>
      <c r="Q372">
        <v>2</v>
      </c>
      <c r="R372" t="s">
        <v>3876</v>
      </c>
    </row>
    <row r="373" spans="1:18" x14ac:dyDescent="0.2">
      <c r="A373" t="s">
        <v>2351</v>
      </c>
      <c r="B373" t="s">
        <v>2352</v>
      </c>
      <c r="C373" t="s">
        <v>2353</v>
      </c>
      <c r="D373" t="s">
        <v>2353</v>
      </c>
      <c r="E373" t="s">
        <v>2354</v>
      </c>
      <c r="F373" t="s">
        <v>2255</v>
      </c>
      <c r="G373" t="s">
        <v>2256</v>
      </c>
      <c r="H373" t="s">
        <v>3872</v>
      </c>
      <c r="I373" t="s">
        <v>2355</v>
      </c>
      <c r="J373">
        <v>29640.959999999999</v>
      </c>
      <c r="K373">
        <v>30524.240000000002</v>
      </c>
      <c r="L373">
        <v>35102.879999999997</v>
      </c>
      <c r="M373" t="s">
        <v>2349</v>
      </c>
      <c r="N373" t="s">
        <v>19</v>
      </c>
      <c r="O373" t="s">
        <v>19</v>
      </c>
      <c r="P373" t="s">
        <v>2350</v>
      </c>
      <c r="Q373">
        <v>11</v>
      </c>
      <c r="R373" t="s">
        <v>3876</v>
      </c>
    </row>
    <row r="374" spans="1:18" x14ac:dyDescent="0.2">
      <c r="A374" t="s">
        <v>2358</v>
      </c>
      <c r="B374" t="s">
        <v>1037</v>
      </c>
      <c r="C374" t="s">
        <v>113</v>
      </c>
      <c r="D374" t="s">
        <v>2329</v>
      </c>
      <c r="E374" t="s">
        <v>2359</v>
      </c>
      <c r="F374" t="s">
        <v>1499</v>
      </c>
      <c r="G374" t="s">
        <v>2310</v>
      </c>
      <c r="H374" t="s">
        <v>3872</v>
      </c>
      <c r="I374" t="s">
        <v>2360</v>
      </c>
      <c r="J374">
        <v>58543.71</v>
      </c>
      <c r="K374">
        <v>29640.959999999999</v>
      </c>
      <c r="L374">
        <v>34087.1</v>
      </c>
      <c r="M374" t="s">
        <v>2356</v>
      </c>
      <c r="N374" t="s">
        <v>19</v>
      </c>
      <c r="O374" t="s">
        <v>19</v>
      </c>
      <c r="P374" t="s">
        <v>2357</v>
      </c>
      <c r="Q374">
        <v>5</v>
      </c>
      <c r="R374" t="s">
        <v>3878</v>
      </c>
    </row>
    <row r="375" spans="1:18" x14ac:dyDescent="0.2">
      <c r="A375" t="s">
        <v>2363</v>
      </c>
      <c r="B375" t="s">
        <v>2364</v>
      </c>
      <c r="C375" t="s">
        <v>1853</v>
      </c>
      <c r="D375" t="s">
        <v>2365</v>
      </c>
      <c r="E375" t="s">
        <v>2366</v>
      </c>
      <c r="F375" t="s">
        <v>1903</v>
      </c>
      <c r="G375" t="s">
        <v>2367</v>
      </c>
      <c r="H375" t="s">
        <v>3872</v>
      </c>
      <c r="I375" t="s">
        <v>2368</v>
      </c>
      <c r="J375">
        <v>2290</v>
      </c>
      <c r="K375">
        <v>58543.71</v>
      </c>
      <c r="L375">
        <v>67325.259999999995</v>
      </c>
      <c r="M375" t="s">
        <v>2361</v>
      </c>
      <c r="N375" t="s">
        <v>19</v>
      </c>
      <c r="O375" t="s">
        <v>772</v>
      </c>
      <c r="P375" t="s">
        <v>2362</v>
      </c>
      <c r="Q375">
        <v>0</v>
      </c>
      <c r="R375" t="s">
        <v>3876</v>
      </c>
    </row>
    <row r="376" spans="1:18" x14ac:dyDescent="0.2">
      <c r="A376" t="s">
        <v>2371</v>
      </c>
      <c r="B376" t="s">
        <v>2015</v>
      </c>
      <c r="C376" t="s">
        <v>2016</v>
      </c>
      <c r="D376" t="s">
        <v>2016</v>
      </c>
      <c r="E376" t="s">
        <v>2372</v>
      </c>
      <c r="F376" t="s">
        <v>1903</v>
      </c>
      <c r="G376" t="s">
        <v>2367</v>
      </c>
      <c r="H376" t="s">
        <v>3872</v>
      </c>
      <c r="I376" t="s">
        <v>2373</v>
      </c>
      <c r="J376">
        <v>1501.07</v>
      </c>
      <c r="K376">
        <v>2290</v>
      </c>
      <c r="L376">
        <v>2633.5</v>
      </c>
      <c r="M376" t="s">
        <v>2369</v>
      </c>
      <c r="N376" t="s">
        <v>19</v>
      </c>
      <c r="O376" t="s">
        <v>19</v>
      </c>
      <c r="P376" t="s">
        <v>2370</v>
      </c>
      <c r="Q376">
        <v>0</v>
      </c>
      <c r="R376" t="s">
        <v>3876</v>
      </c>
    </row>
    <row r="377" spans="1:18" x14ac:dyDescent="0.2">
      <c r="A377" t="s">
        <v>2376</v>
      </c>
      <c r="B377" t="s">
        <v>1572</v>
      </c>
      <c r="C377" t="s">
        <v>1573</v>
      </c>
      <c r="D377" t="s">
        <v>1573</v>
      </c>
      <c r="E377" t="s">
        <v>2377</v>
      </c>
      <c r="F377" t="s">
        <v>1903</v>
      </c>
      <c r="G377" t="s">
        <v>2367</v>
      </c>
      <c r="H377" t="s">
        <v>3872</v>
      </c>
      <c r="I377" t="s">
        <v>2378</v>
      </c>
      <c r="J377">
        <v>2035.29</v>
      </c>
      <c r="K377">
        <v>1501.07</v>
      </c>
      <c r="L377">
        <v>1726.23</v>
      </c>
      <c r="M377" t="s">
        <v>2374</v>
      </c>
      <c r="N377" t="s">
        <v>19</v>
      </c>
      <c r="O377" t="s">
        <v>19</v>
      </c>
      <c r="P377" t="s">
        <v>2375</v>
      </c>
      <c r="Q377">
        <v>1</v>
      </c>
      <c r="R377" t="s">
        <v>3880</v>
      </c>
    </row>
    <row r="378" spans="1:18" x14ac:dyDescent="0.2">
      <c r="A378" t="s">
        <v>2381</v>
      </c>
      <c r="B378" t="s">
        <v>681</v>
      </c>
      <c r="C378" t="s">
        <v>683</v>
      </c>
      <c r="D378" t="s">
        <v>683</v>
      </c>
      <c r="E378" t="s">
        <v>2382</v>
      </c>
      <c r="F378" t="s">
        <v>2255</v>
      </c>
      <c r="G378" t="s">
        <v>2256</v>
      </c>
      <c r="H378" t="s">
        <v>3872</v>
      </c>
      <c r="I378" t="s">
        <v>2383</v>
      </c>
      <c r="J378">
        <v>13958.16</v>
      </c>
      <c r="K378">
        <v>2035.29</v>
      </c>
      <c r="L378">
        <v>2340.58</v>
      </c>
      <c r="M378" t="s">
        <v>2379</v>
      </c>
      <c r="N378" t="s">
        <v>19</v>
      </c>
      <c r="O378" t="s">
        <v>19</v>
      </c>
      <c r="P378" t="s">
        <v>2380</v>
      </c>
      <c r="Q378">
        <v>1</v>
      </c>
      <c r="R378" t="s">
        <v>3876</v>
      </c>
    </row>
    <row r="379" spans="1:18" x14ac:dyDescent="0.2">
      <c r="A379" t="s">
        <v>2386</v>
      </c>
      <c r="B379" t="s">
        <v>311</v>
      </c>
      <c r="C379" t="s">
        <v>2204</v>
      </c>
      <c r="D379" t="s">
        <v>2205</v>
      </c>
      <c r="E379" t="s">
        <v>2387</v>
      </c>
      <c r="F379" t="s">
        <v>2255</v>
      </c>
      <c r="G379" t="s">
        <v>2256</v>
      </c>
      <c r="H379" t="s">
        <v>3872</v>
      </c>
      <c r="I379" t="s">
        <v>2388</v>
      </c>
      <c r="J379">
        <v>2035.29</v>
      </c>
      <c r="K379">
        <v>13958.16</v>
      </c>
      <c r="L379">
        <v>16051.88</v>
      </c>
      <c r="M379" t="s">
        <v>2384</v>
      </c>
      <c r="N379" t="s">
        <v>19</v>
      </c>
      <c r="O379" t="s">
        <v>19</v>
      </c>
      <c r="P379" t="s">
        <v>2385</v>
      </c>
      <c r="Q379">
        <v>1</v>
      </c>
      <c r="R379" t="s">
        <v>3877</v>
      </c>
    </row>
    <row r="380" spans="1:18" x14ac:dyDescent="0.2">
      <c r="A380" t="s">
        <v>2391</v>
      </c>
      <c r="B380" t="s">
        <v>1973</v>
      </c>
      <c r="C380" t="s">
        <v>767</v>
      </c>
      <c r="D380" t="s">
        <v>2392</v>
      </c>
      <c r="E380" t="s">
        <v>220</v>
      </c>
      <c r="F380" t="s">
        <v>1903</v>
      </c>
      <c r="G380" t="s">
        <v>2367</v>
      </c>
      <c r="H380" s="2" t="s">
        <v>3871</v>
      </c>
      <c r="I380" t="s">
        <v>2393</v>
      </c>
      <c r="J380">
        <v>284418.18</v>
      </c>
      <c r="K380">
        <v>2035.29</v>
      </c>
      <c r="L380">
        <v>2340.58</v>
      </c>
      <c r="M380" t="s">
        <v>2389</v>
      </c>
      <c r="N380" t="s">
        <v>19</v>
      </c>
      <c r="O380" t="s">
        <v>19</v>
      </c>
      <c r="P380" t="s">
        <v>2390</v>
      </c>
      <c r="Q380">
        <v>50</v>
      </c>
      <c r="R380" t="s">
        <v>3876</v>
      </c>
    </row>
    <row r="381" spans="1:18" x14ac:dyDescent="0.2">
      <c r="A381" t="s">
        <v>2396</v>
      </c>
      <c r="B381" t="s">
        <v>2397</v>
      </c>
      <c r="C381" t="s">
        <v>2398</v>
      </c>
      <c r="D381" t="s">
        <v>2398</v>
      </c>
      <c r="E381" t="s">
        <v>2399</v>
      </c>
      <c r="F381" t="s">
        <v>1903</v>
      </c>
      <c r="G381" t="s">
        <v>2367</v>
      </c>
      <c r="H381" t="s">
        <v>3872</v>
      </c>
      <c r="I381" t="s">
        <v>2400</v>
      </c>
      <c r="J381">
        <v>1279855</v>
      </c>
      <c r="K381">
        <f>2208600.24+147553.16+1279855</f>
        <v>3636008.4000000004</v>
      </c>
      <c r="L381">
        <v>327080.90999999997</v>
      </c>
      <c r="M381" t="s">
        <v>2394</v>
      </c>
      <c r="N381" t="s">
        <v>19</v>
      </c>
      <c r="O381" t="s">
        <v>19</v>
      </c>
      <c r="P381" t="s">
        <v>2395</v>
      </c>
      <c r="Q381">
        <f>1149+574+8+17</f>
        <v>1748</v>
      </c>
      <c r="R381" t="s">
        <v>3876</v>
      </c>
    </row>
    <row r="382" spans="1:18" x14ac:dyDescent="0.2">
      <c r="A382" t="s">
        <v>2403</v>
      </c>
      <c r="B382" t="s">
        <v>217</v>
      </c>
      <c r="C382" t="s">
        <v>121</v>
      </c>
      <c r="D382" t="s">
        <v>219</v>
      </c>
      <c r="E382" t="s">
        <v>220</v>
      </c>
      <c r="F382" t="s">
        <v>1903</v>
      </c>
      <c r="G382" t="s">
        <v>2367</v>
      </c>
      <c r="H382" s="2" t="s">
        <v>3871</v>
      </c>
      <c r="I382" t="s">
        <v>2404</v>
      </c>
      <c r="J382">
        <v>41220.5</v>
      </c>
      <c r="K382">
        <v>1279855</v>
      </c>
      <c r="L382">
        <v>1471833.25</v>
      </c>
      <c r="M382" t="s">
        <v>2401</v>
      </c>
      <c r="N382" t="s">
        <v>19</v>
      </c>
      <c r="O382" t="s">
        <v>19</v>
      </c>
      <c r="P382" t="s">
        <v>2402</v>
      </c>
      <c r="Q382">
        <v>11</v>
      </c>
      <c r="R382" t="s">
        <v>3877</v>
      </c>
    </row>
    <row r="383" spans="1:18" x14ac:dyDescent="0.2">
      <c r="A383" t="s">
        <v>2407</v>
      </c>
      <c r="B383" t="s">
        <v>2397</v>
      </c>
      <c r="C383" t="s">
        <v>2398</v>
      </c>
      <c r="D383" t="s">
        <v>2398</v>
      </c>
      <c r="E383" t="s">
        <v>2408</v>
      </c>
      <c r="F383" t="s">
        <v>1903</v>
      </c>
      <c r="G383" t="s">
        <v>2367</v>
      </c>
      <c r="H383" t="s">
        <v>3872</v>
      </c>
      <c r="I383" t="s">
        <v>2400</v>
      </c>
      <c r="J383">
        <v>147553.16</v>
      </c>
      <c r="K383">
        <v>41220.5</v>
      </c>
      <c r="L383">
        <v>47403.58</v>
      </c>
      <c r="M383" t="s">
        <v>2405</v>
      </c>
      <c r="N383" t="s">
        <v>19</v>
      </c>
      <c r="O383" t="s">
        <v>19</v>
      </c>
      <c r="P383" t="s">
        <v>2406</v>
      </c>
      <c r="Q383">
        <v>0</v>
      </c>
      <c r="R383" t="s">
        <v>3876</v>
      </c>
    </row>
    <row r="384" spans="1:18" x14ac:dyDescent="0.2">
      <c r="A384" t="s">
        <v>2411</v>
      </c>
      <c r="B384" t="s">
        <v>2397</v>
      </c>
      <c r="C384" t="s">
        <v>2398</v>
      </c>
      <c r="D384" t="s">
        <v>2398</v>
      </c>
      <c r="E384" t="s">
        <v>2412</v>
      </c>
      <c r="F384" t="s">
        <v>1903</v>
      </c>
      <c r="G384" t="s">
        <v>2367</v>
      </c>
      <c r="H384" t="s">
        <v>3872</v>
      </c>
      <c r="I384" t="s">
        <v>2413</v>
      </c>
      <c r="J384">
        <v>2208600.2400000002</v>
      </c>
      <c r="K384">
        <v>147553.16</v>
      </c>
      <c r="L384">
        <v>169686.14</v>
      </c>
      <c r="M384" t="s">
        <v>2409</v>
      </c>
      <c r="N384" t="s">
        <v>19</v>
      </c>
      <c r="O384" t="s">
        <v>19</v>
      </c>
      <c r="P384" t="s">
        <v>2410</v>
      </c>
      <c r="Q384">
        <v>1149</v>
      </c>
      <c r="R384" t="s">
        <v>3876</v>
      </c>
    </row>
    <row r="385" spans="1:18" x14ac:dyDescent="0.2">
      <c r="A385" t="s">
        <v>2416</v>
      </c>
      <c r="B385" t="s">
        <v>1078</v>
      </c>
      <c r="C385" t="s">
        <v>14</v>
      </c>
      <c r="D385" t="s">
        <v>14</v>
      </c>
      <c r="E385" t="s">
        <v>2417</v>
      </c>
      <c r="F385" t="s">
        <v>2255</v>
      </c>
      <c r="G385" t="s">
        <v>2256</v>
      </c>
      <c r="H385" t="s">
        <v>3872</v>
      </c>
      <c r="I385" t="s">
        <v>2418</v>
      </c>
      <c r="J385">
        <v>41703.360000000001</v>
      </c>
      <c r="K385">
        <v>2208600.2400000002</v>
      </c>
      <c r="L385">
        <v>2539890.27</v>
      </c>
      <c r="M385" t="s">
        <v>2414</v>
      </c>
      <c r="N385" t="s">
        <v>19</v>
      </c>
      <c r="O385" t="s">
        <v>19</v>
      </c>
      <c r="P385" t="s">
        <v>2415</v>
      </c>
      <c r="Q385">
        <v>1</v>
      </c>
      <c r="R385" t="s">
        <v>3878</v>
      </c>
    </row>
    <row r="386" spans="1:18" x14ac:dyDescent="0.2">
      <c r="A386" t="s">
        <v>2421</v>
      </c>
      <c r="B386" t="s">
        <v>2422</v>
      </c>
      <c r="C386" t="s">
        <v>129</v>
      </c>
      <c r="D386" t="s">
        <v>130</v>
      </c>
      <c r="E386" t="s">
        <v>2423</v>
      </c>
      <c r="F386" t="s">
        <v>2255</v>
      </c>
      <c r="G386" t="s">
        <v>2256</v>
      </c>
      <c r="H386" t="s">
        <v>3872</v>
      </c>
      <c r="I386" t="s">
        <v>2424</v>
      </c>
      <c r="J386">
        <v>2290</v>
      </c>
      <c r="K386">
        <v>41703.360000000001</v>
      </c>
      <c r="L386">
        <v>47958.86</v>
      </c>
      <c r="M386" t="s">
        <v>2419</v>
      </c>
      <c r="N386" t="s">
        <v>19</v>
      </c>
      <c r="O386" t="s">
        <v>772</v>
      </c>
      <c r="P386" t="s">
        <v>2420</v>
      </c>
      <c r="Q386">
        <v>0</v>
      </c>
      <c r="R386" t="s">
        <v>3880</v>
      </c>
    </row>
    <row r="387" spans="1:18" x14ac:dyDescent="0.2">
      <c r="A387" t="s">
        <v>2427</v>
      </c>
      <c r="B387" t="s">
        <v>718</v>
      </c>
      <c r="C387" t="s">
        <v>113</v>
      </c>
      <c r="D387" t="s">
        <v>720</v>
      </c>
      <c r="E387" t="s">
        <v>2428</v>
      </c>
      <c r="F387" t="s">
        <v>1080</v>
      </c>
      <c r="G387" t="s">
        <v>2256</v>
      </c>
      <c r="H387" t="s">
        <v>3872</v>
      </c>
      <c r="I387" t="s">
        <v>2429</v>
      </c>
      <c r="J387">
        <v>2290</v>
      </c>
      <c r="K387">
        <v>2290</v>
      </c>
      <c r="L387">
        <v>2633.5</v>
      </c>
      <c r="M387" t="s">
        <v>2425</v>
      </c>
      <c r="N387" t="s">
        <v>19</v>
      </c>
      <c r="O387" t="s">
        <v>19</v>
      </c>
      <c r="P387" t="s">
        <v>2426</v>
      </c>
      <c r="Q387">
        <v>0</v>
      </c>
      <c r="R387" t="s">
        <v>3878</v>
      </c>
    </row>
    <row r="388" spans="1:18" x14ac:dyDescent="0.2">
      <c r="A388" t="s">
        <v>2432</v>
      </c>
      <c r="B388" t="s">
        <v>1973</v>
      </c>
      <c r="C388" t="s">
        <v>767</v>
      </c>
      <c r="D388" t="s">
        <v>2392</v>
      </c>
      <c r="E388" t="s">
        <v>220</v>
      </c>
      <c r="F388" t="s">
        <v>2255</v>
      </c>
      <c r="G388" t="s">
        <v>2256</v>
      </c>
      <c r="H388" s="2" t="s">
        <v>3871</v>
      </c>
      <c r="I388" t="s">
        <v>2393</v>
      </c>
      <c r="J388">
        <v>2108907.12</v>
      </c>
      <c r="K388">
        <v>2290</v>
      </c>
      <c r="L388">
        <v>2633.5</v>
      </c>
      <c r="M388" t="s">
        <v>2430</v>
      </c>
      <c r="N388" t="s">
        <v>19</v>
      </c>
      <c r="O388" t="s">
        <v>772</v>
      </c>
      <c r="P388" t="s">
        <v>2431</v>
      </c>
      <c r="Q388">
        <v>340</v>
      </c>
      <c r="R388" t="s">
        <v>3876</v>
      </c>
    </row>
    <row r="389" spans="1:18" x14ac:dyDescent="0.2">
      <c r="A389" t="s">
        <v>2435</v>
      </c>
      <c r="B389" t="s">
        <v>505</v>
      </c>
      <c r="C389" t="s">
        <v>2253</v>
      </c>
      <c r="D389" t="s">
        <v>2253</v>
      </c>
      <c r="E389" t="s">
        <v>2436</v>
      </c>
      <c r="F389" t="s">
        <v>2255</v>
      </c>
      <c r="G389" t="s">
        <v>2256</v>
      </c>
      <c r="H389" t="s">
        <v>3872</v>
      </c>
      <c r="I389" t="s">
        <v>2437</v>
      </c>
      <c r="J389">
        <v>4531.1499999999996</v>
      </c>
      <c r="K389">
        <v>2108907.12</v>
      </c>
      <c r="L389">
        <v>2425243.19</v>
      </c>
      <c r="M389" t="s">
        <v>2433</v>
      </c>
      <c r="N389" t="s">
        <v>19</v>
      </c>
      <c r="O389" t="s">
        <v>19</v>
      </c>
      <c r="P389" t="s">
        <v>2434</v>
      </c>
      <c r="Q389">
        <v>1</v>
      </c>
      <c r="R389" t="s">
        <v>3877</v>
      </c>
    </row>
    <row r="390" spans="1:18" x14ac:dyDescent="0.2">
      <c r="A390" t="s">
        <v>2440</v>
      </c>
      <c r="B390" t="s">
        <v>850</v>
      </c>
      <c r="C390" t="s">
        <v>14</v>
      </c>
      <c r="D390" t="s">
        <v>14</v>
      </c>
      <c r="E390" t="s">
        <v>2441</v>
      </c>
      <c r="F390" t="s">
        <v>1992</v>
      </c>
      <c r="G390" t="s">
        <v>2256</v>
      </c>
      <c r="H390" t="s">
        <v>3872</v>
      </c>
      <c r="I390" t="s">
        <v>2442</v>
      </c>
      <c r="J390">
        <v>1982.09</v>
      </c>
      <c r="K390">
        <v>4531.1499999999996</v>
      </c>
      <c r="L390">
        <v>5210.83</v>
      </c>
      <c r="M390" t="s">
        <v>2438</v>
      </c>
      <c r="N390" t="s">
        <v>19</v>
      </c>
      <c r="O390" t="s">
        <v>19</v>
      </c>
      <c r="P390" t="s">
        <v>2439</v>
      </c>
      <c r="Q390">
        <v>1</v>
      </c>
      <c r="R390" t="s">
        <v>3876</v>
      </c>
    </row>
    <row r="391" spans="1:18" x14ac:dyDescent="0.2">
      <c r="A391" t="s">
        <v>2445</v>
      </c>
      <c r="B391" t="s">
        <v>266</v>
      </c>
      <c r="C391" t="s">
        <v>268</v>
      </c>
      <c r="D391" t="s">
        <v>268</v>
      </c>
      <c r="E391" t="s">
        <v>2446</v>
      </c>
      <c r="F391" t="s">
        <v>1080</v>
      </c>
      <c r="G391" t="s">
        <v>1081</v>
      </c>
      <c r="H391" t="s">
        <v>3872</v>
      </c>
      <c r="I391" t="s">
        <v>2447</v>
      </c>
      <c r="J391">
        <v>2035.29</v>
      </c>
      <c r="K391">
        <v>1982.09</v>
      </c>
      <c r="L391">
        <v>2279.4</v>
      </c>
      <c r="M391" t="s">
        <v>2443</v>
      </c>
      <c r="N391" t="s">
        <v>19</v>
      </c>
      <c r="O391" t="s">
        <v>145</v>
      </c>
      <c r="P391" t="s">
        <v>2444</v>
      </c>
      <c r="Q391">
        <v>1</v>
      </c>
      <c r="R391" t="s">
        <v>3877</v>
      </c>
    </row>
    <row r="392" spans="1:18" x14ac:dyDescent="0.2">
      <c r="A392" t="s">
        <v>2450</v>
      </c>
      <c r="B392" t="s">
        <v>440</v>
      </c>
      <c r="C392" t="s">
        <v>2451</v>
      </c>
      <c r="D392" t="s">
        <v>2452</v>
      </c>
      <c r="E392" t="s">
        <v>2453</v>
      </c>
      <c r="F392" t="s">
        <v>1080</v>
      </c>
      <c r="G392" t="s">
        <v>1081</v>
      </c>
      <c r="H392" t="s">
        <v>3872</v>
      </c>
      <c r="I392" t="s">
        <v>2454</v>
      </c>
      <c r="J392">
        <v>5508.25</v>
      </c>
      <c r="K392">
        <v>2035.29</v>
      </c>
      <c r="L392">
        <v>2340.58</v>
      </c>
      <c r="M392" t="s">
        <v>2448</v>
      </c>
      <c r="N392" t="s">
        <v>19</v>
      </c>
      <c r="O392" t="s">
        <v>19</v>
      </c>
      <c r="P392" t="s">
        <v>2449</v>
      </c>
      <c r="Q392">
        <v>1</v>
      </c>
      <c r="R392" t="s">
        <v>3880</v>
      </c>
    </row>
    <row r="393" spans="1:18" x14ac:dyDescent="0.2">
      <c r="A393" t="s">
        <v>2457</v>
      </c>
      <c r="B393" t="s">
        <v>1710</v>
      </c>
      <c r="C393" t="s">
        <v>759</v>
      </c>
      <c r="D393" t="s">
        <v>160</v>
      </c>
      <c r="E393" t="s">
        <v>2458</v>
      </c>
      <c r="F393" t="s">
        <v>1080</v>
      </c>
      <c r="G393" t="s">
        <v>1081</v>
      </c>
      <c r="H393" t="s">
        <v>3872</v>
      </c>
      <c r="I393" t="s">
        <v>2459</v>
      </c>
      <c r="J393">
        <v>18967.25</v>
      </c>
      <c r="K393">
        <v>5508.25</v>
      </c>
      <c r="L393">
        <v>6334.49</v>
      </c>
      <c r="M393" t="s">
        <v>2455</v>
      </c>
      <c r="N393" t="s">
        <v>19</v>
      </c>
      <c r="O393" t="s">
        <v>19</v>
      </c>
      <c r="P393" t="s">
        <v>2456</v>
      </c>
      <c r="Q393">
        <v>1</v>
      </c>
      <c r="R393" t="s">
        <v>3876</v>
      </c>
    </row>
    <row r="394" spans="1:18" x14ac:dyDescent="0.2">
      <c r="A394" t="s">
        <v>2462</v>
      </c>
      <c r="B394" t="s">
        <v>440</v>
      </c>
      <c r="C394" t="s">
        <v>2451</v>
      </c>
      <c r="D394" t="s">
        <v>2452</v>
      </c>
      <c r="E394" t="s">
        <v>2463</v>
      </c>
      <c r="F394" t="s">
        <v>1080</v>
      </c>
      <c r="G394" t="s">
        <v>1081</v>
      </c>
      <c r="H394" t="s">
        <v>3872</v>
      </c>
      <c r="I394" t="s">
        <v>2464</v>
      </c>
      <c r="J394">
        <v>5395.05</v>
      </c>
      <c r="K394">
        <v>18967.25</v>
      </c>
      <c r="L394">
        <v>21812.34</v>
      </c>
      <c r="M394" t="s">
        <v>2460</v>
      </c>
      <c r="N394" t="s">
        <v>19</v>
      </c>
      <c r="O394" t="s">
        <v>15</v>
      </c>
      <c r="P394" t="s">
        <v>2461</v>
      </c>
      <c r="Q394">
        <v>1</v>
      </c>
      <c r="R394" t="s">
        <v>3878</v>
      </c>
    </row>
    <row r="395" spans="1:18" x14ac:dyDescent="0.2">
      <c r="A395" t="s">
        <v>2467</v>
      </c>
      <c r="B395" t="s">
        <v>2468</v>
      </c>
      <c r="C395" t="s">
        <v>1853</v>
      </c>
      <c r="D395" t="s">
        <v>2469</v>
      </c>
      <c r="E395" t="s">
        <v>2470</v>
      </c>
      <c r="F395" t="s">
        <v>1080</v>
      </c>
      <c r="G395" t="s">
        <v>1081</v>
      </c>
      <c r="H395" s="2" t="s">
        <v>3871</v>
      </c>
      <c r="I395" t="s">
        <v>2471</v>
      </c>
      <c r="J395">
        <v>20497.11</v>
      </c>
      <c r="K395">
        <v>5395.05</v>
      </c>
      <c r="L395">
        <v>6204.31</v>
      </c>
      <c r="M395" t="s">
        <v>2465</v>
      </c>
      <c r="N395" t="s">
        <v>19</v>
      </c>
      <c r="O395" t="s">
        <v>19</v>
      </c>
      <c r="P395" t="s">
        <v>2466</v>
      </c>
      <c r="Q395">
        <v>0</v>
      </c>
      <c r="R395" t="s">
        <v>3876</v>
      </c>
    </row>
    <row r="396" spans="1:18" x14ac:dyDescent="0.2">
      <c r="A396" t="s">
        <v>2474</v>
      </c>
      <c r="B396" t="s">
        <v>1658</v>
      </c>
      <c r="C396" t="s">
        <v>1659</v>
      </c>
      <c r="D396" t="s">
        <v>168</v>
      </c>
      <c r="E396" t="s">
        <v>2475</v>
      </c>
      <c r="F396" t="s">
        <v>1080</v>
      </c>
      <c r="G396" t="s">
        <v>1081</v>
      </c>
      <c r="H396" t="s">
        <v>3872</v>
      </c>
      <c r="I396" t="s">
        <v>2476</v>
      </c>
      <c r="J396">
        <v>2035.29</v>
      </c>
      <c r="K396">
        <v>20497.11</v>
      </c>
      <c r="L396">
        <v>23571.68</v>
      </c>
      <c r="M396" t="s">
        <v>2472</v>
      </c>
      <c r="N396" t="s">
        <v>19</v>
      </c>
      <c r="O396" t="s">
        <v>19</v>
      </c>
      <c r="P396" t="s">
        <v>2473</v>
      </c>
      <c r="Q396">
        <v>1</v>
      </c>
      <c r="R396" t="s">
        <v>3876</v>
      </c>
    </row>
    <row r="397" spans="1:18" x14ac:dyDescent="0.2">
      <c r="A397" t="s">
        <v>2479</v>
      </c>
      <c r="B397" t="s">
        <v>2480</v>
      </c>
      <c r="C397" t="s">
        <v>1853</v>
      </c>
      <c r="D397" t="s">
        <v>2481</v>
      </c>
      <c r="E397" t="s">
        <v>2482</v>
      </c>
      <c r="F397" t="s">
        <v>1992</v>
      </c>
      <c r="G397" t="s">
        <v>2483</v>
      </c>
      <c r="H397" t="s">
        <v>3872</v>
      </c>
      <c r="I397" t="s">
        <v>2484</v>
      </c>
      <c r="J397">
        <v>14692.25</v>
      </c>
      <c r="K397">
        <v>2035.29</v>
      </c>
      <c r="L397">
        <v>2340.58</v>
      </c>
      <c r="M397" t="s">
        <v>2477</v>
      </c>
      <c r="N397" t="s">
        <v>19</v>
      </c>
      <c r="O397" t="s">
        <v>18</v>
      </c>
      <c r="P397" t="s">
        <v>2478</v>
      </c>
      <c r="Q397">
        <v>1</v>
      </c>
      <c r="R397" t="s">
        <v>3878</v>
      </c>
    </row>
    <row r="398" spans="1:18" x14ac:dyDescent="0.2">
      <c r="A398" t="s">
        <v>2487</v>
      </c>
      <c r="B398" t="s">
        <v>843</v>
      </c>
      <c r="C398" t="s">
        <v>845</v>
      </c>
      <c r="D398" t="s">
        <v>168</v>
      </c>
      <c r="E398" t="s">
        <v>2488</v>
      </c>
      <c r="F398" t="s">
        <v>1992</v>
      </c>
      <c r="G398" t="s">
        <v>2483</v>
      </c>
      <c r="H398" t="s">
        <v>3872</v>
      </c>
      <c r="I398" t="s">
        <v>2489</v>
      </c>
      <c r="J398">
        <v>2035.29</v>
      </c>
      <c r="K398">
        <v>14692.25</v>
      </c>
      <c r="L398">
        <v>16896.09</v>
      </c>
      <c r="M398" t="s">
        <v>2485</v>
      </c>
      <c r="N398" t="s">
        <v>19</v>
      </c>
      <c r="O398" t="s">
        <v>19</v>
      </c>
      <c r="P398" t="s">
        <v>2486</v>
      </c>
      <c r="Q398">
        <v>1</v>
      </c>
      <c r="R398" t="s">
        <v>3877</v>
      </c>
    </row>
    <row r="399" spans="1:18" x14ac:dyDescent="0.2">
      <c r="A399" t="s">
        <v>2492</v>
      </c>
      <c r="B399" t="s">
        <v>119</v>
      </c>
      <c r="C399" t="s">
        <v>1258</v>
      </c>
      <c r="D399" t="s">
        <v>1451</v>
      </c>
      <c r="E399" t="s">
        <v>2493</v>
      </c>
      <c r="F399" t="s">
        <v>1992</v>
      </c>
      <c r="G399" t="s">
        <v>2483</v>
      </c>
      <c r="H399" s="2" t="s">
        <v>3871</v>
      </c>
      <c r="I399" t="s">
        <v>2494</v>
      </c>
      <c r="J399">
        <v>9978.6299999999992</v>
      </c>
      <c r="K399">
        <v>2035.29</v>
      </c>
      <c r="L399">
        <v>2340.58</v>
      </c>
      <c r="M399" t="s">
        <v>2490</v>
      </c>
      <c r="N399" t="s">
        <v>19</v>
      </c>
      <c r="O399" t="s">
        <v>19</v>
      </c>
      <c r="P399" t="s">
        <v>2491</v>
      </c>
      <c r="Q399">
        <v>4</v>
      </c>
      <c r="R399" t="s">
        <v>3878</v>
      </c>
    </row>
    <row r="400" spans="1:18" x14ac:dyDescent="0.2">
      <c r="A400" t="s">
        <v>2497</v>
      </c>
      <c r="B400" t="s">
        <v>1710</v>
      </c>
      <c r="C400" t="s">
        <v>759</v>
      </c>
      <c r="D400" t="s">
        <v>160</v>
      </c>
      <c r="E400" t="s">
        <v>2498</v>
      </c>
      <c r="F400" t="s">
        <v>2010</v>
      </c>
      <c r="G400" t="s">
        <v>2499</v>
      </c>
      <c r="H400" t="s">
        <v>3872</v>
      </c>
      <c r="I400" t="s">
        <v>2500</v>
      </c>
      <c r="J400">
        <v>9550</v>
      </c>
      <c r="K400">
        <v>9978.6299999999992</v>
      </c>
      <c r="L400">
        <v>11475.42</v>
      </c>
      <c r="M400" t="s">
        <v>2495</v>
      </c>
      <c r="N400" t="s">
        <v>19</v>
      </c>
      <c r="O400" t="s">
        <v>19</v>
      </c>
      <c r="P400" t="s">
        <v>2496</v>
      </c>
      <c r="Q400">
        <v>0</v>
      </c>
      <c r="R400" t="s">
        <v>3880</v>
      </c>
    </row>
    <row r="401" spans="1:18" x14ac:dyDescent="0.2">
      <c r="A401" t="s">
        <v>2503</v>
      </c>
      <c r="B401" t="s">
        <v>2504</v>
      </c>
      <c r="C401" t="s">
        <v>2505</v>
      </c>
      <c r="D401" t="s">
        <v>2505</v>
      </c>
      <c r="E401" t="s">
        <v>2506</v>
      </c>
      <c r="F401" t="s">
        <v>2010</v>
      </c>
      <c r="G401" t="s">
        <v>2499</v>
      </c>
      <c r="H401" t="s">
        <v>3872</v>
      </c>
      <c r="I401" t="s">
        <v>2507</v>
      </c>
      <c r="J401">
        <v>10250</v>
      </c>
      <c r="K401">
        <v>9550</v>
      </c>
      <c r="L401">
        <v>10982.5</v>
      </c>
      <c r="M401" t="s">
        <v>2501</v>
      </c>
      <c r="N401" t="s">
        <v>19</v>
      </c>
      <c r="O401" t="s">
        <v>19</v>
      </c>
      <c r="P401" t="s">
        <v>2502</v>
      </c>
      <c r="Q401">
        <v>0</v>
      </c>
      <c r="R401" t="s">
        <v>3876</v>
      </c>
    </row>
    <row r="402" spans="1:18" x14ac:dyDescent="0.2">
      <c r="A402" t="s">
        <v>2510</v>
      </c>
      <c r="B402" t="s">
        <v>2511</v>
      </c>
      <c r="C402" t="s">
        <v>1944</v>
      </c>
      <c r="D402" t="s">
        <v>2512</v>
      </c>
      <c r="E402" t="s">
        <v>2513</v>
      </c>
      <c r="F402" t="s">
        <v>2514</v>
      </c>
      <c r="G402" t="s">
        <v>2515</v>
      </c>
      <c r="H402" t="s">
        <v>3872</v>
      </c>
      <c r="I402" t="s">
        <v>2516</v>
      </c>
      <c r="J402">
        <v>7969.29</v>
      </c>
      <c r="K402">
        <v>10250</v>
      </c>
      <c r="L402">
        <v>11787.5</v>
      </c>
      <c r="M402" t="s">
        <v>2508</v>
      </c>
      <c r="N402" t="s">
        <v>19</v>
      </c>
      <c r="O402" t="s">
        <v>19</v>
      </c>
      <c r="P402" t="s">
        <v>2509</v>
      </c>
      <c r="Q402">
        <v>2</v>
      </c>
      <c r="R402" t="s">
        <v>3876</v>
      </c>
    </row>
    <row r="403" spans="1:18" x14ac:dyDescent="0.2">
      <c r="A403" t="s">
        <v>2519</v>
      </c>
      <c r="B403" t="s">
        <v>604</v>
      </c>
      <c r="C403" t="s">
        <v>606</v>
      </c>
      <c r="D403" t="s">
        <v>607</v>
      </c>
      <c r="E403" t="s">
        <v>2520</v>
      </c>
      <c r="F403" t="s">
        <v>2514</v>
      </c>
      <c r="G403" t="s">
        <v>2515</v>
      </c>
      <c r="H403" t="s">
        <v>3872</v>
      </c>
      <c r="I403" t="s">
        <v>2521</v>
      </c>
      <c r="J403">
        <v>5671.19</v>
      </c>
      <c r="K403">
        <v>7969.29</v>
      </c>
      <c r="L403">
        <v>9164.68</v>
      </c>
      <c r="M403" t="s">
        <v>2517</v>
      </c>
      <c r="N403" t="s">
        <v>19</v>
      </c>
      <c r="O403" t="s">
        <v>19</v>
      </c>
      <c r="P403" t="s">
        <v>2518</v>
      </c>
      <c r="Q403">
        <v>1</v>
      </c>
      <c r="R403" t="s">
        <v>3876</v>
      </c>
    </row>
    <row r="404" spans="1:18" x14ac:dyDescent="0.2">
      <c r="A404" t="s">
        <v>2524</v>
      </c>
      <c r="B404" t="s">
        <v>49</v>
      </c>
      <c r="C404" t="s">
        <v>51</v>
      </c>
      <c r="D404" t="s">
        <v>51</v>
      </c>
      <c r="E404" t="s">
        <v>2525</v>
      </c>
      <c r="F404" t="s">
        <v>2110</v>
      </c>
      <c r="G404" t="s">
        <v>2526</v>
      </c>
      <c r="H404" t="s">
        <v>3872</v>
      </c>
      <c r="I404" t="s">
        <v>2527</v>
      </c>
      <c r="J404">
        <v>1982.09</v>
      </c>
      <c r="K404">
        <v>5671.19</v>
      </c>
      <c r="L404">
        <v>6521.87</v>
      </c>
      <c r="M404" t="s">
        <v>2522</v>
      </c>
      <c r="N404" t="s">
        <v>19</v>
      </c>
      <c r="O404" t="s">
        <v>19</v>
      </c>
      <c r="P404" t="s">
        <v>2523</v>
      </c>
      <c r="Q404">
        <v>1</v>
      </c>
      <c r="R404" t="s">
        <v>3878</v>
      </c>
    </row>
    <row r="405" spans="1:18" x14ac:dyDescent="0.2">
      <c r="A405" t="s">
        <v>2530</v>
      </c>
      <c r="B405" t="s">
        <v>1237</v>
      </c>
      <c r="C405" t="s">
        <v>1238</v>
      </c>
      <c r="D405" t="s">
        <v>1238</v>
      </c>
      <c r="E405" t="s">
        <v>2531</v>
      </c>
      <c r="F405" t="s">
        <v>2110</v>
      </c>
      <c r="G405" t="s">
        <v>2526</v>
      </c>
      <c r="H405" t="s">
        <v>3872</v>
      </c>
      <c r="I405" t="s">
        <v>2532</v>
      </c>
      <c r="J405">
        <v>1982.09</v>
      </c>
      <c r="K405">
        <v>1982.09</v>
      </c>
      <c r="L405">
        <v>2279.4</v>
      </c>
      <c r="M405" t="s">
        <v>2528</v>
      </c>
      <c r="N405" t="s">
        <v>19</v>
      </c>
      <c r="O405" t="s">
        <v>19</v>
      </c>
      <c r="P405" t="s">
        <v>2529</v>
      </c>
      <c r="Q405">
        <v>1</v>
      </c>
      <c r="R405" t="s">
        <v>3878</v>
      </c>
    </row>
    <row r="406" spans="1:18" x14ac:dyDescent="0.2">
      <c r="A406" t="s">
        <v>2535</v>
      </c>
      <c r="B406" t="s">
        <v>850</v>
      </c>
      <c r="C406" t="s">
        <v>14</v>
      </c>
      <c r="D406" t="s">
        <v>14</v>
      </c>
      <c r="E406" t="s">
        <v>2536</v>
      </c>
      <c r="F406" t="s">
        <v>2514</v>
      </c>
      <c r="G406" t="s">
        <v>2515</v>
      </c>
      <c r="H406" t="s">
        <v>3872</v>
      </c>
      <c r="I406" t="s">
        <v>2537</v>
      </c>
      <c r="J406">
        <v>6303.54</v>
      </c>
      <c r="K406">
        <v>1982.09</v>
      </c>
      <c r="L406">
        <v>2279.4</v>
      </c>
      <c r="M406" t="s">
        <v>2533</v>
      </c>
      <c r="N406" t="s">
        <v>19</v>
      </c>
      <c r="O406" t="s">
        <v>19</v>
      </c>
      <c r="P406" t="s">
        <v>2534</v>
      </c>
      <c r="Q406">
        <v>1</v>
      </c>
      <c r="R406" t="s">
        <v>3878</v>
      </c>
    </row>
    <row r="407" spans="1:18" x14ac:dyDescent="0.2">
      <c r="A407" t="s">
        <v>2540</v>
      </c>
      <c r="B407" t="s">
        <v>2541</v>
      </c>
      <c r="C407" t="s">
        <v>2542</v>
      </c>
      <c r="D407" t="s">
        <v>2542</v>
      </c>
      <c r="E407" t="s">
        <v>2543</v>
      </c>
      <c r="F407" t="s">
        <v>2514</v>
      </c>
      <c r="G407" t="s">
        <v>2515</v>
      </c>
      <c r="H407" t="s">
        <v>3872</v>
      </c>
      <c r="I407" t="s">
        <v>2544</v>
      </c>
      <c r="J407">
        <v>1072157.43</v>
      </c>
      <c r="K407">
        <v>6303.54</v>
      </c>
      <c r="L407">
        <v>7249.07</v>
      </c>
      <c r="M407" t="s">
        <v>2538</v>
      </c>
      <c r="N407" t="s">
        <v>19</v>
      </c>
      <c r="O407" t="s">
        <v>19</v>
      </c>
      <c r="P407" t="s">
        <v>2539</v>
      </c>
      <c r="Q407">
        <v>199</v>
      </c>
      <c r="R407" t="s">
        <v>3880</v>
      </c>
    </row>
    <row r="408" spans="1:18" x14ac:dyDescent="0.2">
      <c r="A408" t="s">
        <v>2548</v>
      </c>
      <c r="B408" t="s">
        <v>2197</v>
      </c>
      <c r="C408" t="s">
        <v>2549</v>
      </c>
      <c r="D408" t="s">
        <v>2550</v>
      </c>
      <c r="E408" t="s">
        <v>2551</v>
      </c>
      <c r="F408" t="s">
        <v>2514</v>
      </c>
      <c r="G408" t="s">
        <v>2515</v>
      </c>
      <c r="H408" t="s">
        <v>3872</v>
      </c>
      <c r="I408" t="s">
        <v>2200</v>
      </c>
      <c r="J408">
        <v>24353.27</v>
      </c>
      <c r="K408">
        <v>1072157.43</v>
      </c>
      <c r="L408">
        <v>1232981.04</v>
      </c>
      <c r="M408" t="s">
        <v>2545</v>
      </c>
      <c r="N408" t="s">
        <v>19</v>
      </c>
      <c r="O408" t="s">
        <v>2546</v>
      </c>
      <c r="P408" t="s">
        <v>2547</v>
      </c>
      <c r="Q408">
        <v>3</v>
      </c>
      <c r="R408" t="s">
        <v>3876</v>
      </c>
    </row>
    <row r="409" spans="1:18" x14ac:dyDescent="0.2">
      <c r="A409" t="s">
        <v>2554</v>
      </c>
      <c r="B409" t="s">
        <v>2555</v>
      </c>
      <c r="C409" t="s">
        <v>2556</v>
      </c>
      <c r="D409" t="s">
        <v>2556</v>
      </c>
      <c r="E409" t="s">
        <v>2557</v>
      </c>
      <c r="F409" t="s">
        <v>2558</v>
      </c>
      <c r="G409" t="s">
        <v>2559</v>
      </c>
      <c r="H409" t="s">
        <v>3872</v>
      </c>
      <c r="I409" t="s">
        <v>2560</v>
      </c>
      <c r="J409">
        <v>15179.93</v>
      </c>
      <c r="K409">
        <v>24353.27</v>
      </c>
      <c r="L409">
        <v>28006.26</v>
      </c>
      <c r="M409" t="s">
        <v>2552</v>
      </c>
      <c r="N409" t="s">
        <v>19</v>
      </c>
      <c r="O409" t="s">
        <v>19</v>
      </c>
      <c r="P409" t="s">
        <v>2553</v>
      </c>
      <c r="Q409">
        <v>1</v>
      </c>
      <c r="R409" t="s">
        <v>3878</v>
      </c>
    </row>
    <row r="410" spans="1:18" x14ac:dyDescent="0.2">
      <c r="A410" t="s">
        <v>2563</v>
      </c>
      <c r="B410" t="s">
        <v>74</v>
      </c>
      <c r="C410" t="s">
        <v>76</v>
      </c>
      <c r="D410" t="s">
        <v>77</v>
      </c>
      <c r="E410" t="s">
        <v>2564</v>
      </c>
      <c r="F410" t="s">
        <v>2110</v>
      </c>
      <c r="G410" t="s">
        <v>2526</v>
      </c>
      <c r="H410" t="s">
        <v>3872</v>
      </c>
      <c r="I410" t="s">
        <v>2565</v>
      </c>
      <c r="J410">
        <v>1822.48</v>
      </c>
      <c r="K410">
        <v>15179.93</v>
      </c>
      <c r="L410">
        <v>17456.93</v>
      </c>
      <c r="M410" t="s">
        <v>2561</v>
      </c>
      <c r="N410" t="s">
        <v>19</v>
      </c>
      <c r="O410" t="s">
        <v>19</v>
      </c>
      <c r="P410" t="s">
        <v>2562</v>
      </c>
      <c r="Q410">
        <v>1</v>
      </c>
      <c r="R410" t="s">
        <v>3878</v>
      </c>
    </row>
    <row r="411" spans="1:18" x14ac:dyDescent="0.2">
      <c r="A411" t="s">
        <v>2568</v>
      </c>
      <c r="B411" t="s">
        <v>1078</v>
      </c>
      <c r="C411" t="s">
        <v>1078</v>
      </c>
      <c r="D411" t="s">
        <v>1078</v>
      </c>
      <c r="E411" t="s">
        <v>2569</v>
      </c>
      <c r="F411" t="s">
        <v>2514</v>
      </c>
      <c r="G411" t="s">
        <v>2515</v>
      </c>
      <c r="H411" t="s">
        <v>3872</v>
      </c>
      <c r="I411" t="s">
        <v>1082</v>
      </c>
      <c r="J411">
        <v>2700</v>
      </c>
      <c r="K411">
        <v>1822.48</v>
      </c>
      <c r="L411">
        <v>2095.85</v>
      </c>
      <c r="M411" t="s">
        <v>2566</v>
      </c>
      <c r="N411" t="s">
        <v>19</v>
      </c>
      <c r="O411" t="s">
        <v>19</v>
      </c>
      <c r="P411" t="s">
        <v>2567</v>
      </c>
      <c r="Q411">
        <v>0</v>
      </c>
      <c r="R411" t="s">
        <v>3876</v>
      </c>
    </row>
    <row r="412" spans="1:18" x14ac:dyDescent="0.2">
      <c r="A412" t="s">
        <v>2572</v>
      </c>
      <c r="B412" t="s">
        <v>2573</v>
      </c>
      <c r="C412" t="s">
        <v>1258</v>
      </c>
      <c r="D412" t="s">
        <v>2574</v>
      </c>
      <c r="E412" t="s">
        <v>283</v>
      </c>
      <c r="F412" t="s">
        <v>2514</v>
      </c>
      <c r="G412" t="s">
        <v>2515</v>
      </c>
      <c r="H412" s="2" t="s">
        <v>3871</v>
      </c>
      <c r="I412" t="s">
        <v>2575</v>
      </c>
      <c r="J412">
        <v>119031.97</v>
      </c>
      <c r="K412">
        <v>2700</v>
      </c>
      <c r="L412">
        <v>3105</v>
      </c>
      <c r="M412" t="s">
        <v>2570</v>
      </c>
      <c r="N412" t="s">
        <v>19</v>
      </c>
      <c r="O412" t="s">
        <v>19</v>
      </c>
      <c r="P412" t="s">
        <v>2571</v>
      </c>
      <c r="Q412">
        <v>15</v>
      </c>
      <c r="R412" t="s">
        <v>3876</v>
      </c>
    </row>
    <row r="413" spans="1:18" x14ac:dyDescent="0.2">
      <c r="A413" t="s">
        <v>2578</v>
      </c>
      <c r="B413" t="s">
        <v>148</v>
      </c>
      <c r="C413" t="s">
        <v>150</v>
      </c>
      <c r="D413" t="s">
        <v>150</v>
      </c>
      <c r="E413" t="s">
        <v>2579</v>
      </c>
      <c r="F413" t="s">
        <v>2514</v>
      </c>
      <c r="G413" t="s">
        <v>2515</v>
      </c>
      <c r="H413" t="s">
        <v>3872</v>
      </c>
      <c r="I413" t="s">
        <v>2580</v>
      </c>
      <c r="J413">
        <v>5490</v>
      </c>
      <c r="K413">
        <v>119031.97</v>
      </c>
      <c r="L413">
        <v>136886.76999999999</v>
      </c>
      <c r="M413" t="s">
        <v>2576</v>
      </c>
      <c r="N413" t="s">
        <v>19</v>
      </c>
      <c r="O413" t="s">
        <v>19</v>
      </c>
      <c r="P413" t="s">
        <v>2577</v>
      </c>
      <c r="Q413">
        <v>0</v>
      </c>
      <c r="R413" t="s">
        <v>3878</v>
      </c>
    </row>
    <row r="414" spans="1:18" x14ac:dyDescent="0.2">
      <c r="A414" t="s">
        <v>2583</v>
      </c>
      <c r="B414" t="s">
        <v>2584</v>
      </c>
      <c r="C414" t="s">
        <v>759</v>
      </c>
      <c r="D414" t="s">
        <v>2585</v>
      </c>
      <c r="E414" t="s">
        <v>2586</v>
      </c>
      <c r="F414" t="s">
        <v>2558</v>
      </c>
      <c r="G414" t="s">
        <v>2559</v>
      </c>
      <c r="H414" s="2" t="s">
        <v>3871</v>
      </c>
      <c r="I414" t="s">
        <v>2587</v>
      </c>
      <c r="J414">
        <v>242469.58</v>
      </c>
      <c r="K414">
        <v>5490</v>
      </c>
      <c r="L414">
        <v>6313.5</v>
      </c>
      <c r="M414" t="s">
        <v>2581</v>
      </c>
      <c r="N414" t="s">
        <v>19</v>
      </c>
      <c r="O414" t="s">
        <v>19</v>
      </c>
      <c r="P414" t="s">
        <v>2582</v>
      </c>
      <c r="Q414">
        <v>18</v>
      </c>
      <c r="R414" t="s">
        <v>3878</v>
      </c>
    </row>
    <row r="415" spans="1:18" x14ac:dyDescent="0.2">
      <c r="A415" t="s">
        <v>2590</v>
      </c>
      <c r="B415" t="s">
        <v>1300</v>
      </c>
      <c r="C415" t="s">
        <v>2270</v>
      </c>
      <c r="D415" t="s">
        <v>2270</v>
      </c>
      <c r="E415" t="s">
        <v>2591</v>
      </c>
      <c r="F415" t="s">
        <v>2063</v>
      </c>
      <c r="G415" t="s">
        <v>2592</v>
      </c>
      <c r="H415" t="s">
        <v>3872</v>
      </c>
      <c r="I415" t="s">
        <v>2593</v>
      </c>
      <c r="J415">
        <v>2384.65</v>
      </c>
      <c r="K415">
        <v>242469.58</v>
      </c>
      <c r="L415">
        <v>278840.02</v>
      </c>
      <c r="M415" t="s">
        <v>2588</v>
      </c>
      <c r="N415" t="s">
        <v>19</v>
      </c>
      <c r="O415" t="s">
        <v>19</v>
      </c>
      <c r="P415" t="s">
        <v>2589</v>
      </c>
      <c r="Q415">
        <v>1</v>
      </c>
      <c r="R415" t="s">
        <v>3877</v>
      </c>
    </row>
    <row r="416" spans="1:18" x14ac:dyDescent="0.2">
      <c r="A416" t="s">
        <v>2596</v>
      </c>
      <c r="B416" t="s">
        <v>821</v>
      </c>
      <c r="C416" t="s">
        <v>121</v>
      </c>
      <c r="D416" t="s">
        <v>823</v>
      </c>
      <c r="E416" t="s">
        <v>2597</v>
      </c>
      <c r="F416" t="s">
        <v>2063</v>
      </c>
      <c r="G416" t="s">
        <v>2592</v>
      </c>
      <c r="H416" s="2" t="s">
        <v>3871</v>
      </c>
      <c r="I416" t="s">
        <v>2598</v>
      </c>
      <c r="J416">
        <v>84917.26</v>
      </c>
      <c r="K416">
        <v>2384.65</v>
      </c>
      <c r="L416">
        <v>2742.35</v>
      </c>
      <c r="M416" t="s">
        <v>2594</v>
      </c>
      <c r="N416" t="s">
        <v>19</v>
      </c>
      <c r="O416" t="s">
        <v>19</v>
      </c>
      <c r="P416" t="s">
        <v>2595</v>
      </c>
      <c r="Q416">
        <v>13</v>
      </c>
      <c r="R416" t="s">
        <v>3876</v>
      </c>
    </row>
    <row r="417" spans="1:18" x14ac:dyDescent="0.2">
      <c r="A417" t="s">
        <v>2601</v>
      </c>
      <c r="B417" t="s">
        <v>2602</v>
      </c>
      <c r="C417" t="s">
        <v>2603</v>
      </c>
      <c r="D417" t="s">
        <v>2604</v>
      </c>
      <c r="E417" t="s">
        <v>2605</v>
      </c>
      <c r="F417" t="s">
        <v>2063</v>
      </c>
      <c r="G417" t="s">
        <v>2592</v>
      </c>
      <c r="H417" t="s">
        <v>3872</v>
      </c>
      <c r="I417" t="s">
        <v>2606</v>
      </c>
      <c r="J417">
        <v>4425</v>
      </c>
      <c r="K417">
        <v>84917.26</v>
      </c>
      <c r="L417">
        <v>97654.85</v>
      </c>
      <c r="M417" t="s">
        <v>2599</v>
      </c>
      <c r="N417" t="s">
        <v>19</v>
      </c>
      <c r="O417" t="s">
        <v>772</v>
      </c>
      <c r="P417" t="s">
        <v>2600</v>
      </c>
      <c r="Q417">
        <v>0</v>
      </c>
      <c r="R417" t="s">
        <v>3878</v>
      </c>
    </row>
    <row r="418" spans="1:18" x14ac:dyDescent="0.2">
      <c r="A418" t="s">
        <v>2609</v>
      </c>
      <c r="B418" t="s">
        <v>2610</v>
      </c>
      <c r="C418" t="s">
        <v>2611</v>
      </c>
      <c r="D418" t="s">
        <v>2612</v>
      </c>
      <c r="E418" t="s">
        <v>2613</v>
      </c>
      <c r="F418" t="s">
        <v>2063</v>
      </c>
      <c r="G418" t="s">
        <v>2592</v>
      </c>
      <c r="H418" t="s">
        <v>3872</v>
      </c>
      <c r="I418" t="s">
        <v>2614</v>
      </c>
      <c r="J418">
        <v>28758.880000000001</v>
      </c>
      <c r="K418">
        <v>4425</v>
      </c>
      <c r="L418">
        <v>5088.75</v>
      </c>
      <c r="M418" t="s">
        <v>2607</v>
      </c>
      <c r="N418" t="s">
        <v>19</v>
      </c>
      <c r="O418" t="s">
        <v>19</v>
      </c>
      <c r="P418" t="s">
        <v>2608</v>
      </c>
      <c r="Q418">
        <v>2</v>
      </c>
      <c r="R418" t="s">
        <v>3878</v>
      </c>
    </row>
    <row r="419" spans="1:18" x14ac:dyDescent="0.2">
      <c r="A419" t="s">
        <v>2617</v>
      </c>
      <c r="B419" t="s">
        <v>1504</v>
      </c>
      <c r="C419" t="s">
        <v>1505</v>
      </c>
      <c r="D419" t="s">
        <v>168</v>
      </c>
      <c r="E419" t="s">
        <v>2618</v>
      </c>
      <c r="F419" t="s">
        <v>1733</v>
      </c>
      <c r="G419" t="s">
        <v>2619</v>
      </c>
      <c r="H419" t="s">
        <v>3872</v>
      </c>
      <c r="I419" t="s">
        <v>2620</v>
      </c>
      <c r="J419">
        <v>1725</v>
      </c>
      <c r="K419">
        <v>28758.880000000001</v>
      </c>
      <c r="L419">
        <v>33072.71</v>
      </c>
      <c r="M419" t="s">
        <v>2615</v>
      </c>
      <c r="N419" t="s">
        <v>19</v>
      </c>
      <c r="O419" t="s">
        <v>19</v>
      </c>
      <c r="P419" t="s">
        <v>2616</v>
      </c>
      <c r="Q419">
        <v>0</v>
      </c>
      <c r="R419" t="s">
        <v>3877</v>
      </c>
    </row>
    <row r="420" spans="1:18" x14ac:dyDescent="0.2">
      <c r="A420" t="s">
        <v>2623</v>
      </c>
      <c r="B420" t="s">
        <v>1504</v>
      </c>
      <c r="C420" t="s">
        <v>1505</v>
      </c>
      <c r="D420" t="s">
        <v>168</v>
      </c>
      <c r="E420" t="s">
        <v>2624</v>
      </c>
      <c r="F420" t="s">
        <v>1733</v>
      </c>
      <c r="G420" t="s">
        <v>2619</v>
      </c>
      <c r="H420" t="s">
        <v>3872</v>
      </c>
      <c r="I420" t="s">
        <v>2620</v>
      </c>
      <c r="J420">
        <v>3200</v>
      </c>
      <c r="K420">
        <v>1725</v>
      </c>
      <c r="L420">
        <v>1983.75</v>
      </c>
      <c r="M420" t="s">
        <v>2621</v>
      </c>
      <c r="N420" t="s">
        <v>19</v>
      </c>
      <c r="O420" t="s">
        <v>19</v>
      </c>
      <c r="P420" t="s">
        <v>2622</v>
      </c>
      <c r="Q420">
        <v>0</v>
      </c>
      <c r="R420" t="s">
        <v>3879</v>
      </c>
    </row>
    <row r="421" spans="1:18" x14ac:dyDescent="0.2">
      <c r="A421" t="s">
        <v>2627</v>
      </c>
      <c r="B421" t="s">
        <v>2628</v>
      </c>
      <c r="C421" t="s">
        <v>2629</v>
      </c>
      <c r="D421" t="s">
        <v>2630</v>
      </c>
      <c r="E421" t="s">
        <v>2631</v>
      </c>
      <c r="F421" t="s">
        <v>1733</v>
      </c>
      <c r="G421" t="s">
        <v>2619</v>
      </c>
      <c r="H421" t="s">
        <v>3872</v>
      </c>
      <c r="I421" t="s">
        <v>2632</v>
      </c>
      <c r="J421">
        <v>23069.35</v>
      </c>
      <c r="K421">
        <v>3200</v>
      </c>
      <c r="L421">
        <v>3680</v>
      </c>
      <c r="M421" t="s">
        <v>2625</v>
      </c>
      <c r="N421" t="s">
        <v>19</v>
      </c>
      <c r="O421" t="s">
        <v>19</v>
      </c>
      <c r="P421" t="s">
        <v>2626</v>
      </c>
      <c r="Q421">
        <v>6</v>
      </c>
      <c r="R421" t="s">
        <v>3878</v>
      </c>
    </row>
    <row r="422" spans="1:18" x14ac:dyDescent="0.2">
      <c r="A422" t="s">
        <v>2635</v>
      </c>
      <c r="B422" t="s">
        <v>1300</v>
      </c>
      <c r="C422" t="s">
        <v>2270</v>
      </c>
      <c r="D422" t="s">
        <v>2270</v>
      </c>
      <c r="E422" t="s">
        <v>2636</v>
      </c>
      <c r="F422" t="s">
        <v>1733</v>
      </c>
      <c r="G422" t="s">
        <v>2619</v>
      </c>
      <c r="H422" t="s">
        <v>3872</v>
      </c>
      <c r="I422" t="s">
        <v>2637</v>
      </c>
      <c r="J422">
        <v>6903.94</v>
      </c>
      <c r="K422">
        <v>23069.35</v>
      </c>
      <c r="L422">
        <v>26529.759999999998</v>
      </c>
      <c r="M422" t="s">
        <v>2633</v>
      </c>
      <c r="N422" t="s">
        <v>19</v>
      </c>
      <c r="O422" t="s">
        <v>18</v>
      </c>
      <c r="P422" t="s">
        <v>2634</v>
      </c>
      <c r="Q422">
        <v>3</v>
      </c>
      <c r="R422" t="s">
        <v>3877</v>
      </c>
    </row>
    <row r="423" spans="1:18" x14ac:dyDescent="0.2">
      <c r="A423" t="s">
        <v>2640</v>
      </c>
      <c r="B423" t="s">
        <v>311</v>
      </c>
      <c r="C423" t="s">
        <v>2204</v>
      </c>
      <c r="D423" t="s">
        <v>2205</v>
      </c>
      <c r="E423" t="s">
        <v>2641</v>
      </c>
      <c r="F423" t="s">
        <v>1733</v>
      </c>
      <c r="G423" t="s">
        <v>2619</v>
      </c>
      <c r="H423" t="s">
        <v>3872</v>
      </c>
      <c r="I423" t="s">
        <v>2642</v>
      </c>
      <c r="J423">
        <v>1982.09</v>
      </c>
      <c r="K423">
        <v>6903.94</v>
      </c>
      <c r="L423">
        <v>7939.53</v>
      </c>
      <c r="M423" t="s">
        <v>2638</v>
      </c>
      <c r="N423" t="s">
        <v>19</v>
      </c>
      <c r="O423" t="s">
        <v>19</v>
      </c>
      <c r="P423" t="s">
        <v>2639</v>
      </c>
      <c r="Q423">
        <v>1</v>
      </c>
      <c r="R423" t="s">
        <v>3878</v>
      </c>
    </row>
    <row r="424" spans="1:18" x14ac:dyDescent="0.2">
      <c r="A424" t="s">
        <v>2645</v>
      </c>
      <c r="B424" t="s">
        <v>1737</v>
      </c>
      <c r="C424" t="s">
        <v>2185</v>
      </c>
      <c r="D424" t="s">
        <v>2186</v>
      </c>
      <c r="E424" t="s">
        <v>1046</v>
      </c>
      <c r="F424" t="s">
        <v>1733</v>
      </c>
      <c r="G424" t="s">
        <v>2619</v>
      </c>
      <c r="H424" s="2" t="s">
        <v>3871</v>
      </c>
      <c r="I424" t="s">
        <v>2646</v>
      </c>
      <c r="J424">
        <v>3312.54</v>
      </c>
      <c r="K424">
        <v>1982.09</v>
      </c>
      <c r="L424">
        <v>2279.4</v>
      </c>
      <c r="M424" t="s">
        <v>2643</v>
      </c>
      <c r="N424" t="s">
        <v>19</v>
      </c>
      <c r="O424" t="s">
        <v>19</v>
      </c>
      <c r="P424" t="s">
        <v>2644</v>
      </c>
      <c r="Q424">
        <v>1</v>
      </c>
      <c r="R424" t="s">
        <v>3876</v>
      </c>
    </row>
    <row r="425" spans="1:18" x14ac:dyDescent="0.2">
      <c r="A425" t="s">
        <v>2649</v>
      </c>
      <c r="B425" t="s">
        <v>1078</v>
      </c>
      <c r="C425" t="s">
        <v>1078</v>
      </c>
      <c r="D425" t="s">
        <v>1078</v>
      </c>
      <c r="E425" t="s">
        <v>2650</v>
      </c>
      <c r="F425" t="s">
        <v>1733</v>
      </c>
      <c r="G425" t="s">
        <v>2619</v>
      </c>
      <c r="H425" t="s">
        <v>3872</v>
      </c>
      <c r="I425" t="s">
        <v>2193</v>
      </c>
      <c r="J425">
        <v>780</v>
      </c>
      <c r="K425">
        <v>3312.54</v>
      </c>
      <c r="L425">
        <v>3809.42</v>
      </c>
      <c r="M425" t="s">
        <v>2647</v>
      </c>
      <c r="N425" t="s">
        <v>19</v>
      </c>
      <c r="O425" t="s">
        <v>19</v>
      </c>
      <c r="P425" t="s">
        <v>2648</v>
      </c>
      <c r="Q425">
        <v>0</v>
      </c>
      <c r="R425" t="s">
        <v>3878</v>
      </c>
    </row>
    <row r="426" spans="1:18" x14ac:dyDescent="0.2">
      <c r="A426" t="s">
        <v>2653</v>
      </c>
      <c r="B426" t="s">
        <v>2654</v>
      </c>
      <c r="C426" t="s">
        <v>14</v>
      </c>
      <c r="D426" t="s">
        <v>14</v>
      </c>
      <c r="E426" t="s">
        <v>2655</v>
      </c>
      <c r="F426" t="s">
        <v>1733</v>
      </c>
      <c r="G426" t="s">
        <v>2619</v>
      </c>
      <c r="H426" t="s">
        <v>3872</v>
      </c>
      <c r="I426" t="s">
        <v>2656</v>
      </c>
      <c r="J426">
        <v>17765.93</v>
      </c>
      <c r="K426">
        <v>780</v>
      </c>
      <c r="L426">
        <v>897</v>
      </c>
      <c r="M426" t="s">
        <v>2651</v>
      </c>
      <c r="N426" t="s">
        <v>19</v>
      </c>
      <c r="O426" t="s">
        <v>19</v>
      </c>
      <c r="P426" t="s">
        <v>2652</v>
      </c>
      <c r="Q426">
        <v>1</v>
      </c>
      <c r="R426" t="s">
        <v>3876</v>
      </c>
    </row>
    <row r="427" spans="1:18" x14ac:dyDescent="0.2">
      <c r="A427" t="s">
        <v>2659</v>
      </c>
      <c r="B427" t="s">
        <v>2660</v>
      </c>
      <c r="C427" t="s">
        <v>2661</v>
      </c>
      <c r="D427" t="s">
        <v>2662</v>
      </c>
      <c r="E427" t="s">
        <v>2663</v>
      </c>
      <c r="F427" t="s">
        <v>1733</v>
      </c>
      <c r="G427" t="s">
        <v>2619</v>
      </c>
      <c r="H427" t="s">
        <v>3872</v>
      </c>
      <c r="I427" t="s">
        <v>2664</v>
      </c>
      <c r="J427">
        <v>29784.55</v>
      </c>
      <c r="K427">
        <v>17765.93</v>
      </c>
      <c r="L427">
        <v>20430.830000000002</v>
      </c>
      <c r="M427" t="s">
        <v>2657</v>
      </c>
      <c r="N427" t="s">
        <v>19</v>
      </c>
      <c r="O427" t="s">
        <v>2546</v>
      </c>
      <c r="P427" t="s">
        <v>2658</v>
      </c>
      <c r="Q427">
        <v>4</v>
      </c>
      <c r="R427" t="s">
        <v>3876</v>
      </c>
    </row>
    <row r="428" spans="1:18" x14ac:dyDescent="0.2">
      <c r="A428" t="s">
        <v>2667</v>
      </c>
      <c r="B428" t="s">
        <v>1745</v>
      </c>
      <c r="C428" t="s">
        <v>2668</v>
      </c>
      <c r="D428" t="s">
        <v>2668</v>
      </c>
      <c r="E428" t="s">
        <v>2669</v>
      </c>
      <c r="F428" t="s">
        <v>1733</v>
      </c>
      <c r="G428" t="s">
        <v>2619</v>
      </c>
      <c r="H428" t="s">
        <v>3872</v>
      </c>
      <c r="I428" t="s">
        <v>2670</v>
      </c>
      <c r="J428">
        <v>19188.080000000002</v>
      </c>
      <c r="K428">
        <v>29784.55</v>
      </c>
      <c r="L428">
        <v>34252.230000000003</v>
      </c>
      <c r="M428" t="s">
        <v>2665</v>
      </c>
      <c r="N428" t="s">
        <v>19</v>
      </c>
      <c r="O428" t="s">
        <v>19</v>
      </c>
      <c r="P428" t="s">
        <v>2666</v>
      </c>
      <c r="Q428">
        <v>2</v>
      </c>
      <c r="R428" t="s">
        <v>3876</v>
      </c>
    </row>
    <row r="429" spans="1:18" x14ac:dyDescent="0.2">
      <c r="A429" t="s">
        <v>2673</v>
      </c>
      <c r="B429" t="s">
        <v>2674</v>
      </c>
      <c r="C429" t="s">
        <v>2675</v>
      </c>
      <c r="D429" t="s">
        <v>2675</v>
      </c>
      <c r="E429" t="s">
        <v>2676</v>
      </c>
      <c r="F429" t="s">
        <v>2110</v>
      </c>
      <c r="G429" t="s">
        <v>2526</v>
      </c>
      <c r="H429" t="s">
        <v>3872</v>
      </c>
      <c r="I429" t="s">
        <v>2677</v>
      </c>
      <c r="J429">
        <v>11030.44</v>
      </c>
      <c r="K429">
        <v>19188.080000000002</v>
      </c>
      <c r="L429">
        <v>22066.29</v>
      </c>
      <c r="M429" t="s">
        <v>2671</v>
      </c>
      <c r="N429" t="s">
        <v>19</v>
      </c>
      <c r="O429" t="s">
        <v>772</v>
      </c>
      <c r="P429" t="s">
        <v>2672</v>
      </c>
      <c r="Q429">
        <v>1</v>
      </c>
      <c r="R429" t="s">
        <v>3878</v>
      </c>
    </row>
    <row r="430" spans="1:18" x14ac:dyDescent="0.2">
      <c r="A430" t="s">
        <v>2680</v>
      </c>
      <c r="B430" t="s">
        <v>2681</v>
      </c>
      <c r="C430" t="s">
        <v>2682</v>
      </c>
      <c r="D430" t="s">
        <v>2682</v>
      </c>
      <c r="E430" t="s">
        <v>2683</v>
      </c>
      <c r="F430" t="s">
        <v>2110</v>
      </c>
      <c r="G430" t="s">
        <v>2526</v>
      </c>
      <c r="H430" t="s">
        <v>3872</v>
      </c>
      <c r="I430" t="s">
        <v>2684</v>
      </c>
      <c r="J430">
        <v>1700</v>
      </c>
      <c r="K430">
        <v>11030.44</v>
      </c>
      <c r="L430">
        <v>12685.01</v>
      </c>
      <c r="M430" t="s">
        <v>2678</v>
      </c>
      <c r="N430" t="s">
        <v>19</v>
      </c>
      <c r="O430" t="s">
        <v>19</v>
      </c>
      <c r="P430" t="s">
        <v>2679</v>
      </c>
      <c r="Q430">
        <v>0</v>
      </c>
      <c r="R430" t="s">
        <v>3878</v>
      </c>
    </row>
    <row r="431" spans="1:18" x14ac:dyDescent="0.2">
      <c r="A431" t="s">
        <v>2687</v>
      </c>
      <c r="B431" t="s">
        <v>2688</v>
      </c>
      <c r="C431" t="s">
        <v>2689</v>
      </c>
      <c r="D431" t="s">
        <v>168</v>
      </c>
      <c r="E431" t="s">
        <v>2690</v>
      </c>
      <c r="F431" t="s">
        <v>2691</v>
      </c>
      <c r="G431" t="s">
        <v>2692</v>
      </c>
      <c r="H431" t="s">
        <v>3872</v>
      </c>
      <c r="I431" t="s">
        <v>2693</v>
      </c>
      <c r="J431">
        <v>1822.48</v>
      </c>
      <c r="K431">
        <v>1700</v>
      </c>
      <c r="L431">
        <v>1955</v>
      </c>
      <c r="M431" t="s">
        <v>2685</v>
      </c>
      <c r="N431" t="s">
        <v>19</v>
      </c>
      <c r="O431" t="s">
        <v>19</v>
      </c>
      <c r="P431" t="s">
        <v>2686</v>
      </c>
      <c r="Q431">
        <v>1</v>
      </c>
      <c r="R431" t="s">
        <v>3878</v>
      </c>
    </row>
    <row r="432" spans="1:18" x14ac:dyDescent="0.2">
      <c r="A432" t="s">
        <v>2696</v>
      </c>
      <c r="B432" t="s">
        <v>604</v>
      </c>
      <c r="C432" t="s">
        <v>606</v>
      </c>
      <c r="D432" t="s">
        <v>607</v>
      </c>
      <c r="E432" t="s">
        <v>2697</v>
      </c>
      <c r="F432" t="s">
        <v>2691</v>
      </c>
      <c r="G432" t="s">
        <v>2692</v>
      </c>
      <c r="H432" t="s">
        <v>3872</v>
      </c>
      <c r="I432" t="s">
        <v>2698</v>
      </c>
      <c r="J432">
        <v>8493.18</v>
      </c>
      <c r="K432">
        <v>1822.48</v>
      </c>
      <c r="L432">
        <v>2095.85</v>
      </c>
      <c r="M432" t="s">
        <v>2694</v>
      </c>
      <c r="N432" t="s">
        <v>19</v>
      </c>
      <c r="O432" t="s">
        <v>772</v>
      </c>
      <c r="P432" t="s">
        <v>2695</v>
      </c>
      <c r="Q432">
        <v>2</v>
      </c>
      <c r="R432" t="s">
        <v>3878</v>
      </c>
    </row>
    <row r="433" spans="1:18" x14ac:dyDescent="0.2">
      <c r="A433" t="s">
        <v>2701</v>
      </c>
      <c r="B433" t="s">
        <v>1314</v>
      </c>
      <c r="C433" t="s">
        <v>2702</v>
      </c>
      <c r="D433" t="s">
        <v>2702</v>
      </c>
      <c r="E433" t="s">
        <v>2703</v>
      </c>
      <c r="F433" t="s">
        <v>2143</v>
      </c>
      <c r="G433" t="s">
        <v>2704</v>
      </c>
      <c r="H433" t="s">
        <v>3872</v>
      </c>
      <c r="I433" t="s">
        <v>2705</v>
      </c>
      <c r="J433">
        <v>3980.58</v>
      </c>
      <c r="K433">
        <v>8493.18</v>
      </c>
      <c r="L433">
        <v>9767.16</v>
      </c>
      <c r="M433" t="s">
        <v>2699</v>
      </c>
      <c r="N433" t="s">
        <v>19</v>
      </c>
      <c r="O433" t="s">
        <v>19</v>
      </c>
      <c r="P433" t="s">
        <v>2700</v>
      </c>
      <c r="Q433">
        <v>2</v>
      </c>
      <c r="R433" t="s">
        <v>3878</v>
      </c>
    </row>
    <row r="434" spans="1:18" x14ac:dyDescent="0.2">
      <c r="A434" t="s">
        <v>2708</v>
      </c>
      <c r="B434" t="s">
        <v>787</v>
      </c>
      <c r="C434" t="s">
        <v>788</v>
      </c>
      <c r="D434" t="s">
        <v>789</v>
      </c>
      <c r="E434" t="s">
        <v>2709</v>
      </c>
      <c r="F434" t="s">
        <v>2710</v>
      </c>
      <c r="G434" t="s">
        <v>2711</v>
      </c>
      <c r="H434" s="2" t="s">
        <v>3871</v>
      </c>
      <c r="I434" t="s">
        <v>2712</v>
      </c>
      <c r="J434">
        <v>6085.48</v>
      </c>
      <c r="K434">
        <v>3980.58</v>
      </c>
      <c r="L434">
        <v>4577.67</v>
      </c>
      <c r="M434" t="s">
        <v>2706</v>
      </c>
      <c r="N434" t="s">
        <v>19</v>
      </c>
      <c r="O434" t="s">
        <v>19</v>
      </c>
      <c r="P434" t="s">
        <v>2707</v>
      </c>
      <c r="Q434">
        <v>3</v>
      </c>
      <c r="R434" t="s">
        <v>3878</v>
      </c>
    </row>
    <row r="435" spans="1:18" x14ac:dyDescent="0.2">
      <c r="A435" t="s">
        <v>2715</v>
      </c>
      <c r="B435" t="s">
        <v>481</v>
      </c>
      <c r="C435" t="s">
        <v>483</v>
      </c>
      <c r="D435" t="s">
        <v>483</v>
      </c>
      <c r="E435" t="s">
        <v>2716</v>
      </c>
      <c r="F435" t="s">
        <v>2143</v>
      </c>
      <c r="G435" t="s">
        <v>2711</v>
      </c>
      <c r="H435" t="s">
        <v>3872</v>
      </c>
      <c r="I435" t="s">
        <v>2717</v>
      </c>
      <c r="J435">
        <v>12414.88</v>
      </c>
      <c r="K435">
        <v>6085.48</v>
      </c>
      <c r="L435">
        <v>6998.3</v>
      </c>
      <c r="M435" t="s">
        <v>2713</v>
      </c>
      <c r="N435" t="s">
        <v>19</v>
      </c>
      <c r="O435" t="s">
        <v>19</v>
      </c>
      <c r="P435" t="s">
        <v>2714</v>
      </c>
      <c r="Q435">
        <v>2</v>
      </c>
      <c r="R435" t="s">
        <v>3876</v>
      </c>
    </row>
    <row r="436" spans="1:18" x14ac:dyDescent="0.2">
      <c r="A436" t="s">
        <v>2720</v>
      </c>
      <c r="B436" t="s">
        <v>404</v>
      </c>
      <c r="C436" t="s">
        <v>406</v>
      </c>
      <c r="D436" t="s">
        <v>406</v>
      </c>
      <c r="E436" t="s">
        <v>2721</v>
      </c>
      <c r="F436" t="s">
        <v>2711</v>
      </c>
      <c r="G436" t="s">
        <v>2722</v>
      </c>
      <c r="H436" t="s">
        <v>3872</v>
      </c>
      <c r="I436" t="s">
        <v>2723</v>
      </c>
      <c r="J436">
        <v>8637.3700000000008</v>
      </c>
      <c r="K436">
        <v>12414.88</v>
      </c>
      <c r="L436">
        <v>14277.11</v>
      </c>
      <c r="M436" t="s">
        <v>2718</v>
      </c>
      <c r="N436" t="s">
        <v>19</v>
      </c>
      <c r="O436" t="s">
        <v>772</v>
      </c>
      <c r="P436" t="s">
        <v>2719</v>
      </c>
      <c r="Q436">
        <v>0</v>
      </c>
      <c r="R436" t="s">
        <v>3876</v>
      </c>
    </row>
    <row r="437" spans="1:18" x14ac:dyDescent="0.2">
      <c r="A437" t="s">
        <v>2726</v>
      </c>
      <c r="B437" t="s">
        <v>2727</v>
      </c>
      <c r="C437" t="s">
        <v>2727</v>
      </c>
      <c r="D437" t="s">
        <v>2728</v>
      </c>
      <c r="E437" t="s">
        <v>2729</v>
      </c>
      <c r="F437" t="s">
        <v>2161</v>
      </c>
      <c r="G437" t="s">
        <v>2730</v>
      </c>
      <c r="H437" t="s">
        <v>3872</v>
      </c>
      <c r="I437" t="s">
        <v>2731</v>
      </c>
      <c r="J437">
        <v>28823.79</v>
      </c>
      <c r="K437">
        <v>8637.3700000000008</v>
      </c>
      <c r="L437">
        <v>9932.98</v>
      </c>
      <c r="M437" t="s">
        <v>2724</v>
      </c>
      <c r="N437" t="s">
        <v>19</v>
      </c>
      <c r="O437" t="s">
        <v>19</v>
      </c>
      <c r="P437" t="s">
        <v>2725</v>
      </c>
      <c r="Q437">
        <v>3</v>
      </c>
      <c r="R437" t="s">
        <v>3876</v>
      </c>
    </row>
    <row r="438" spans="1:18" x14ac:dyDescent="0.2">
      <c r="A438" t="s">
        <v>2734</v>
      </c>
      <c r="B438" t="s">
        <v>148</v>
      </c>
      <c r="C438" t="s">
        <v>2735</v>
      </c>
      <c r="D438" t="s">
        <v>2735</v>
      </c>
      <c r="E438" t="s">
        <v>2736</v>
      </c>
      <c r="F438" t="s">
        <v>2143</v>
      </c>
      <c r="G438" t="s">
        <v>2704</v>
      </c>
      <c r="H438" t="s">
        <v>3872</v>
      </c>
      <c r="I438" t="s">
        <v>2737</v>
      </c>
      <c r="J438">
        <v>57690.38</v>
      </c>
      <c r="K438">
        <v>28823.79</v>
      </c>
      <c r="L438">
        <v>33147.360000000001</v>
      </c>
      <c r="M438" t="s">
        <v>2732</v>
      </c>
      <c r="N438" t="s">
        <v>19</v>
      </c>
      <c r="O438" t="s">
        <v>19</v>
      </c>
      <c r="P438" t="s">
        <v>2733</v>
      </c>
      <c r="Q438">
        <v>7</v>
      </c>
      <c r="R438" t="s">
        <v>3876</v>
      </c>
    </row>
    <row r="439" spans="1:18" x14ac:dyDescent="0.2">
      <c r="A439" t="s">
        <v>2740</v>
      </c>
      <c r="B439" t="s">
        <v>148</v>
      </c>
      <c r="C439" t="s">
        <v>2735</v>
      </c>
      <c r="D439" t="s">
        <v>2735</v>
      </c>
      <c r="E439" t="s">
        <v>2741</v>
      </c>
      <c r="F439" t="s">
        <v>2143</v>
      </c>
      <c r="G439" t="s">
        <v>2704</v>
      </c>
      <c r="H439" t="s">
        <v>3872</v>
      </c>
      <c r="I439" t="s">
        <v>2737</v>
      </c>
      <c r="J439">
        <v>50637.41</v>
      </c>
      <c r="K439">
        <v>57690.38</v>
      </c>
      <c r="L439">
        <v>66343.929999999993</v>
      </c>
      <c r="M439" t="s">
        <v>2738</v>
      </c>
      <c r="N439" t="s">
        <v>19</v>
      </c>
      <c r="O439" t="s">
        <v>19</v>
      </c>
      <c r="P439" t="s">
        <v>2739</v>
      </c>
      <c r="Q439">
        <v>6</v>
      </c>
      <c r="R439" t="s">
        <v>3876</v>
      </c>
    </row>
    <row r="440" spans="1:18" x14ac:dyDescent="0.2">
      <c r="A440" t="s">
        <v>2744</v>
      </c>
      <c r="B440" t="s">
        <v>330</v>
      </c>
      <c r="C440" t="s">
        <v>2745</v>
      </c>
      <c r="D440" t="s">
        <v>2745</v>
      </c>
      <c r="E440" t="s">
        <v>2746</v>
      </c>
      <c r="F440" t="s">
        <v>2143</v>
      </c>
      <c r="G440" t="s">
        <v>2704</v>
      </c>
      <c r="H440" t="s">
        <v>3872</v>
      </c>
      <c r="I440" t="s">
        <v>2747</v>
      </c>
      <c r="J440">
        <v>262662.43</v>
      </c>
      <c r="K440">
        <v>50637.41</v>
      </c>
      <c r="L440">
        <v>58233.03</v>
      </c>
      <c r="M440" t="s">
        <v>2742</v>
      </c>
      <c r="N440" t="s">
        <v>19</v>
      </c>
      <c r="O440" t="s">
        <v>19</v>
      </c>
      <c r="P440" t="s">
        <v>2743</v>
      </c>
      <c r="Q440">
        <v>71</v>
      </c>
      <c r="R440" t="s">
        <v>3880</v>
      </c>
    </row>
    <row r="441" spans="1:18" x14ac:dyDescent="0.2">
      <c r="A441" t="s">
        <v>2750</v>
      </c>
      <c r="B441" t="s">
        <v>505</v>
      </c>
      <c r="C441" t="s">
        <v>2253</v>
      </c>
      <c r="D441" t="s">
        <v>2253</v>
      </c>
      <c r="E441" t="s">
        <v>2751</v>
      </c>
      <c r="F441" t="s">
        <v>2161</v>
      </c>
      <c r="G441" t="s">
        <v>2730</v>
      </c>
      <c r="H441" t="s">
        <v>3872</v>
      </c>
      <c r="I441" t="s">
        <v>2752</v>
      </c>
      <c r="J441">
        <v>12658.72</v>
      </c>
      <c r="K441">
        <v>262662.43</v>
      </c>
      <c r="L441">
        <v>302061.8</v>
      </c>
      <c r="M441" t="s">
        <v>2748</v>
      </c>
      <c r="N441" t="s">
        <v>19</v>
      </c>
      <c r="O441" t="s">
        <v>19</v>
      </c>
      <c r="P441" t="s">
        <v>2749</v>
      </c>
      <c r="Q441">
        <v>1</v>
      </c>
      <c r="R441" t="s">
        <v>3876</v>
      </c>
    </row>
    <row r="442" spans="1:18" x14ac:dyDescent="0.2">
      <c r="A442" t="s">
        <v>2755</v>
      </c>
      <c r="B442" t="s">
        <v>1958</v>
      </c>
      <c r="C442" t="s">
        <v>14</v>
      </c>
      <c r="D442" t="s">
        <v>14</v>
      </c>
      <c r="E442" t="s">
        <v>2756</v>
      </c>
      <c r="F442" t="s">
        <v>2161</v>
      </c>
      <c r="G442" t="s">
        <v>2730</v>
      </c>
      <c r="H442" s="2" t="s">
        <v>3871</v>
      </c>
      <c r="I442" t="s">
        <v>1959</v>
      </c>
      <c r="J442">
        <v>150380</v>
      </c>
      <c r="K442">
        <v>12658.72</v>
      </c>
      <c r="L442">
        <v>14557.53</v>
      </c>
      <c r="M442" t="s">
        <v>2753</v>
      </c>
      <c r="N442" t="s">
        <v>19</v>
      </c>
      <c r="O442" t="s">
        <v>19</v>
      </c>
      <c r="P442" t="s">
        <v>2754</v>
      </c>
      <c r="Q442">
        <v>7</v>
      </c>
      <c r="R442" t="s">
        <v>3880</v>
      </c>
    </row>
    <row r="443" spans="1:18" x14ac:dyDescent="0.2">
      <c r="A443" t="s">
        <v>2758</v>
      </c>
      <c r="B443" t="s">
        <v>2759</v>
      </c>
      <c r="C443" t="s">
        <v>14</v>
      </c>
      <c r="D443" t="s">
        <v>14</v>
      </c>
      <c r="E443" t="s">
        <v>2760</v>
      </c>
      <c r="F443" t="s">
        <v>2161</v>
      </c>
      <c r="G443" t="s">
        <v>2730</v>
      </c>
      <c r="H443" s="2" t="s">
        <v>3871</v>
      </c>
      <c r="I443" t="s">
        <v>2761</v>
      </c>
      <c r="J443">
        <v>18334.240000000002</v>
      </c>
      <c r="K443">
        <v>150380</v>
      </c>
      <c r="L443">
        <v>172937</v>
      </c>
      <c r="M443" t="s">
        <v>2757</v>
      </c>
      <c r="N443" t="s">
        <v>19</v>
      </c>
      <c r="O443" t="s">
        <v>19</v>
      </c>
      <c r="P443" t="s">
        <v>2757</v>
      </c>
      <c r="Q443">
        <v>2</v>
      </c>
      <c r="R443" t="s">
        <v>3876</v>
      </c>
    </row>
    <row r="444" spans="1:18" x14ac:dyDescent="0.2">
      <c r="A444" t="s">
        <v>2764</v>
      </c>
      <c r="B444" t="s">
        <v>1958</v>
      </c>
      <c r="C444" t="s">
        <v>14</v>
      </c>
      <c r="D444" t="s">
        <v>14</v>
      </c>
      <c r="E444" t="s">
        <v>1960</v>
      </c>
      <c r="F444" t="s">
        <v>2161</v>
      </c>
      <c r="G444" t="s">
        <v>2730</v>
      </c>
      <c r="H444" s="2" t="s">
        <v>3871</v>
      </c>
      <c r="I444" t="s">
        <v>1961</v>
      </c>
      <c r="J444">
        <v>139052.65</v>
      </c>
      <c r="K444">
        <v>18334.240000000002</v>
      </c>
      <c r="L444">
        <v>21084.38</v>
      </c>
      <c r="M444" t="s">
        <v>2762</v>
      </c>
      <c r="N444" t="s">
        <v>19</v>
      </c>
      <c r="O444" t="s">
        <v>19</v>
      </c>
      <c r="P444" t="s">
        <v>2763</v>
      </c>
      <c r="Q444">
        <v>7</v>
      </c>
      <c r="R444" t="s">
        <v>3878</v>
      </c>
    </row>
    <row r="445" spans="1:18" x14ac:dyDescent="0.2">
      <c r="A445" t="s">
        <v>2767</v>
      </c>
      <c r="B445" t="s">
        <v>2759</v>
      </c>
      <c r="C445" t="s">
        <v>14</v>
      </c>
      <c r="D445" t="s">
        <v>14</v>
      </c>
      <c r="E445" t="s">
        <v>2768</v>
      </c>
      <c r="F445" t="s">
        <v>2161</v>
      </c>
      <c r="G445" t="s">
        <v>2730</v>
      </c>
      <c r="H445" t="s">
        <v>3872</v>
      </c>
      <c r="I445" t="s">
        <v>2761</v>
      </c>
      <c r="J445">
        <v>17022.93</v>
      </c>
      <c r="K445">
        <v>139052.65</v>
      </c>
      <c r="L445">
        <v>159910.54999999999</v>
      </c>
      <c r="M445" t="s">
        <v>2765</v>
      </c>
      <c r="N445" t="s">
        <v>19</v>
      </c>
      <c r="O445" t="s">
        <v>19</v>
      </c>
      <c r="P445" t="s">
        <v>2766</v>
      </c>
      <c r="Q445">
        <v>2</v>
      </c>
      <c r="R445" t="s">
        <v>3876</v>
      </c>
    </row>
    <row r="446" spans="1:18" x14ac:dyDescent="0.2">
      <c r="A446" t="s">
        <v>2771</v>
      </c>
      <c r="B446" t="s">
        <v>2759</v>
      </c>
      <c r="C446" t="s">
        <v>14</v>
      </c>
      <c r="D446" t="s">
        <v>14</v>
      </c>
      <c r="E446" t="s">
        <v>2772</v>
      </c>
      <c r="F446" t="s">
        <v>2161</v>
      </c>
      <c r="G446" t="s">
        <v>2730</v>
      </c>
      <c r="H446" t="s">
        <v>3872</v>
      </c>
      <c r="I446" t="s">
        <v>2761</v>
      </c>
      <c r="J446">
        <v>17022.93</v>
      </c>
      <c r="K446">
        <v>17022.93</v>
      </c>
      <c r="L446">
        <v>19576.37</v>
      </c>
      <c r="M446" t="s">
        <v>2769</v>
      </c>
      <c r="N446" t="s">
        <v>19</v>
      </c>
      <c r="O446" t="s">
        <v>19</v>
      </c>
      <c r="P446" t="s">
        <v>2770</v>
      </c>
      <c r="Q446">
        <v>2</v>
      </c>
      <c r="R446" t="s">
        <v>3876</v>
      </c>
    </row>
    <row r="447" spans="1:18" x14ac:dyDescent="0.2">
      <c r="A447" t="s">
        <v>2775</v>
      </c>
      <c r="B447" t="s">
        <v>2759</v>
      </c>
      <c r="C447" t="s">
        <v>14</v>
      </c>
      <c r="D447" t="s">
        <v>14</v>
      </c>
      <c r="E447" t="s">
        <v>2776</v>
      </c>
      <c r="F447" t="s">
        <v>2161</v>
      </c>
      <c r="G447" t="s">
        <v>2730</v>
      </c>
      <c r="H447" t="s">
        <v>3872</v>
      </c>
      <c r="I447" t="s">
        <v>2761</v>
      </c>
      <c r="J447">
        <v>17022.93</v>
      </c>
      <c r="K447">
        <v>17022.93</v>
      </c>
      <c r="L447">
        <v>19576.37</v>
      </c>
      <c r="M447" t="s">
        <v>2773</v>
      </c>
      <c r="N447" t="s">
        <v>19</v>
      </c>
      <c r="O447" t="s">
        <v>19</v>
      </c>
      <c r="P447" t="s">
        <v>2774</v>
      </c>
      <c r="Q447">
        <v>2</v>
      </c>
      <c r="R447" t="s">
        <v>3876</v>
      </c>
    </row>
    <row r="448" spans="1:18" x14ac:dyDescent="0.2">
      <c r="A448" t="s">
        <v>2779</v>
      </c>
      <c r="B448" t="s">
        <v>148</v>
      </c>
      <c r="C448" t="s">
        <v>2780</v>
      </c>
      <c r="D448" t="s">
        <v>2780</v>
      </c>
      <c r="E448" t="s">
        <v>2781</v>
      </c>
      <c r="F448" t="s">
        <v>2237</v>
      </c>
      <c r="G448" t="s">
        <v>2782</v>
      </c>
      <c r="H448" t="s">
        <v>3872</v>
      </c>
      <c r="I448" t="s">
        <v>2783</v>
      </c>
      <c r="J448">
        <v>40437.61</v>
      </c>
      <c r="K448">
        <v>17022.93</v>
      </c>
      <c r="L448">
        <v>19576.37</v>
      </c>
      <c r="M448" t="s">
        <v>2777</v>
      </c>
      <c r="N448" t="s">
        <v>19</v>
      </c>
      <c r="O448" t="s">
        <v>19</v>
      </c>
      <c r="P448" t="s">
        <v>2778</v>
      </c>
      <c r="Q448">
        <v>7</v>
      </c>
      <c r="R448" t="s">
        <v>3876</v>
      </c>
    </row>
    <row r="449" spans="1:18" x14ac:dyDescent="0.2">
      <c r="A449" t="s">
        <v>2786</v>
      </c>
      <c r="B449" t="s">
        <v>148</v>
      </c>
      <c r="C449" t="s">
        <v>2780</v>
      </c>
      <c r="D449" t="s">
        <v>2780</v>
      </c>
      <c r="E449" t="s">
        <v>2787</v>
      </c>
      <c r="F449" t="s">
        <v>2237</v>
      </c>
      <c r="G449" t="s">
        <v>2782</v>
      </c>
      <c r="H449" t="s">
        <v>3872</v>
      </c>
      <c r="I449" t="s">
        <v>2783</v>
      </c>
      <c r="J449">
        <v>42686.85</v>
      </c>
      <c r="K449">
        <v>40437.61</v>
      </c>
      <c r="L449">
        <v>46503.27</v>
      </c>
      <c r="M449" t="s">
        <v>2784</v>
      </c>
      <c r="N449" t="s">
        <v>19</v>
      </c>
      <c r="O449" t="s">
        <v>19</v>
      </c>
      <c r="P449" t="s">
        <v>2785</v>
      </c>
      <c r="Q449">
        <v>8</v>
      </c>
      <c r="R449" t="s">
        <v>3876</v>
      </c>
    </row>
    <row r="450" spans="1:18" x14ac:dyDescent="0.2">
      <c r="A450" t="s">
        <v>2790</v>
      </c>
      <c r="B450" t="s">
        <v>2791</v>
      </c>
      <c r="C450" t="s">
        <v>2792</v>
      </c>
      <c r="D450" t="s">
        <v>2793</v>
      </c>
      <c r="E450" t="s">
        <v>2794</v>
      </c>
      <c r="F450" t="s">
        <v>2711</v>
      </c>
      <c r="G450" t="s">
        <v>2722</v>
      </c>
      <c r="H450" t="s">
        <v>3872</v>
      </c>
      <c r="I450" t="s">
        <v>2795</v>
      </c>
      <c r="J450">
        <v>15013.92</v>
      </c>
      <c r="K450">
        <v>42686.85</v>
      </c>
      <c r="L450">
        <v>49089.89</v>
      </c>
      <c r="M450" t="s">
        <v>2788</v>
      </c>
      <c r="N450" t="s">
        <v>19</v>
      </c>
      <c r="O450" t="s">
        <v>19</v>
      </c>
      <c r="P450" t="s">
        <v>2789</v>
      </c>
      <c r="Q450">
        <v>0</v>
      </c>
      <c r="R450" t="s">
        <v>3876</v>
      </c>
    </row>
    <row r="451" spans="1:18" x14ac:dyDescent="0.2">
      <c r="A451" t="s">
        <v>2798</v>
      </c>
      <c r="B451" t="s">
        <v>74</v>
      </c>
      <c r="C451" t="s">
        <v>76</v>
      </c>
      <c r="D451" t="s">
        <v>76</v>
      </c>
      <c r="E451" t="s">
        <v>2799</v>
      </c>
      <c r="F451" t="s">
        <v>2212</v>
      </c>
      <c r="G451" t="s">
        <v>2800</v>
      </c>
      <c r="H451" t="s">
        <v>3872</v>
      </c>
      <c r="I451" t="s">
        <v>2801</v>
      </c>
      <c r="J451">
        <v>1822.48</v>
      </c>
      <c r="K451">
        <v>15013.92</v>
      </c>
      <c r="L451">
        <v>17266.009999999998</v>
      </c>
      <c r="M451" t="s">
        <v>2796</v>
      </c>
      <c r="N451" t="s">
        <v>19</v>
      </c>
      <c r="O451" t="s">
        <v>145</v>
      </c>
      <c r="P451" t="s">
        <v>2797</v>
      </c>
      <c r="Q451">
        <v>1</v>
      </c>
      <c r="R451" t="s">
        <v>3878</v>
      </c>
    </row>
    <row r="452" spans="1:18" x14ac:dyDescent="0.2">
      <c r="A452" t="s">
        <v>2804</v>
      </c>
      <c r="B452" t="s">
        <v>970</v>
      </c>
      <c r="C452" t="s">
        <v>113</v>
      </c>
      <c r="D452" t="s">
        <v>447</v>
      </c>
      <c r="E452" t="s">
        <v>1330</v>
      </c>
      <c r="F452" t="s">
        <v>2237</v>
      </c>
      <c r="G452" t="s">
        <v>2782</v>
      </c>
      <c r="H452" t="s">
        <v>3872</v>
      </c>
      <c r="I452" t="s">
        <v>971</v>
      </c>
      <c r="J452">
        <v>55831.199999999997</v>
      </c>
      <c r="K452">
        <v>1822.48</v>
      </c>
      <c r="L452">
        <v>2095.85</v>
      </c>
      <c r="M452" t="s">
        <v>2802</v>
      </c>
      <c r="N452" t="s">
        <v>19</v>
      </c>
      <c r="O452" t="s">
        <v>19</v>
      </c>
      <c r="P452" t="s">
        <v>2803</v>
      </c>
      <c r="Q452">
        <v>28</v>
      </c>
      <c r="R452" t="s">
        <v>3880</v>
      </c>
    </row>
    <row r="453" spans="1:18" x14ac:dyDescent="0.2">
      <c r="A453" t="s">
        <v>2807</v>
      </c>
      <c r="B453" t="s">
        <v>585</v>
      </c>
      <c r="C453" t="s">
        <v>976</v>
      </c>
      <c r="D453" t="s">
        <v>977</v>
      </c>
      <c r="E453" t="s">
        <v>2808</v>
      </c>
      <c r="F453" t="s">
        <v>2237</v>
      </c>
      <c r="G453" t="s">
        <v>2782</v>
      </c>
      <c r="H453" t="s">
        <v>3872</v>
      </c>
      <c r="I453" t="s">
        <v>2809</v>
      </c>
      <c r="J453">
        <v>19602.689999999999</v>
      </c>
      <c r="K453">
        <v>55831.199999999997</v>
      </c>
      <c r="L453">
        <v>64205.88</v>
      </c>
      <c r="M453" t="s">
        <v>2805</v>
      </c>
      <c r="N453" t="s">
        <v>19</v>
      </c>
      <c r="O453" t="s">
        <v>15</v>
      </c>
      <c r="P453" t="s">
        <v>2806</v>
      </c>
      <c r="Q453">
        <v>1</v>
      </c>
      <c r="R453" t="s">
        <v>3876</v>
      </c>
    </row>
    <row r="454" spans="1:18" x14ac:dyDescent="0.2">
      <c r="A454" t="s">
        <v>2812</v>
      </c>
      <c r="B454" t="s">
        <v>1029</v>
      </c>
      <c r="C454" t="s">
        <v>121</v>
      </c>
      <c r="D454" t="s">
        <v>1031</v>
      </c>
      <c r="E454" t="s">
        <v>2813</v>
      </c>
      <c r="F454" t="s">
        <v>2237</v>
      </c>
      <c r="G454" t="s">
        <v>2782</v>
      </c>
      <c r="H454" t="s">
        <v>3872</v>
      </c>
      <c r="I454" t="s">
        <v>2814</v>
      </c>
      <c r="J454">
        <v>11739</v>
      </c>
      <c r="K454">
        <v>19602.689999999999</v>
      </c>
      <c r="L454">
        <v>22543.09</v>
      </c>
      <c r="M454" t="s">
        <v>2810</v>
      </c>
      <c r="N454" t="s">
        <v>19</v>
      </c>
      <c r="O454" t="s">
        <v>19</v>
      </c>
      <c r="P454" t="s">
        <v>2811</v>
      </c>
      <c r="Q454">
        <v>0</v>
      </c>
      <c r="R454" t="s">
        <v>3876</v>
      </c>
    </row>
    <row r="455" spans="1:18" x14ac:dyDescent="0.2">
      <c r="A455" t="s">
        <v>2817</v>
      </c>
      <c r="B455" t="s">
        <v>1029</v>
      </c>
      <c r="C455" t="s">
        <v>121</v>
      </c>
      <c r="D455" t="s">
        <v>1031</v>
      </c>
      <c r="E455" t="s">
        <v>2818</v>
      </c>
      <c r="F455" t="s">
        <v>2237</v>
      </c>
      <c r="G455" t="s">
        <v>2782</v>
      </c>
      <c r="H455" t="s">
        <v>3872</v>
      </c>
      <c r="I455" t="s">
        <v>2814</v>
      </c>
      <c r="J455">
        <v>3408</v>
      </c>
      <c r="K455">
        <v>11739</v>
      </c>
      <c r="L455">
        <v>13499.85</v>
      </c>
      <c r="M455" t="s">
        <v>2815</v>
      </c>
      <c r="N455" t="s">
        <v>19</v>
      </c>
      <c r="O455" t="s">
        <v>19</v>
      </c>
      <c r="P455" t="s">
        <v>2816</v>
      </c>
      <c r="Q455">
        <v>0</v>
      </c>
      <c r="R455" t="s">
        <v>3876</v>
      </c>
    </row>
    <row r="456" spans="1:18" x14ac:dyDescent="0.2">
      <c r="A456" t="s">
        <v>2821</v>
      </c>
      <c r="B456" t="s">
        <v>2822</v>
      </c>
      <c r="C456" t="s">
        <v>2823</v>
      </c>
      <c r="D456" t="s">
        <v>2823</v>
      </c>
      <c r="E456" t="s">
        <v>2824</v>
      </c>
      <c r="F456" t="s">
        <v>2212</v>
      </c>
      <c r="G456" t="s">
        <v>2800</v>
      </c>
      <c r="H456" t="s">
        <v>3872</v>
      </c>
      <c r="I456" t="s">
        <v>2825</v>
      </c>
      <c r="J456">
        <v>12455.44</v>
      </c>
      <c r="K456">
        <v>3408</v>
      </c>
      <c r="L456">
        <v>3919.2</v>
      </c>
      <c r="M456" t="s">
        <v>2819</v>
      </c>
      <c r="N456" t="s">
        <v>19</v>
      </c>
      <c r="O456" t="s">
        <v>19</v>
      </c>
      <c r="P456" t="s">
        <v>2820</v>
      </c>
      <c r="Q456">
        <v>1</v>
      </c>
      <c r="R456" t="s">
        <v>3879</v>
      </c>
    </row>
    <row r="457" spans="1:18" x14ac:dyDescent="0.2">
      <c r="A457" t="s">
        <v>2828</v>
      </c>
      <c r="B457" t="s">
        <v>119</v>
      </c>
      <c r="C457" t="s">
        <v>2829</v>
      </c>
      <c r="D457" t="s">
        <v>2830</v>
      </c>
      <c r="E457" t="s">
        <v>2831</v>
      </c>
      <c r="F457" t="s">
        <v>2237</v>
      </c>
      <c r="G457" t="s">
        <v>2782</v>
      </c>
      <c r="H457" s="2" t="s">
        <v>3871</v>
      </c>
      <c r="I457" t="s">
        <v>2832</v>
      </c>
      <c r="J457">
        <v>32913.86</v>
      </c>
      <c r="K457">
        <v>12455.44</v>
      </c>
      <c r="L457">
        <v>14323.76</v>
      </c>
      <c r="M457" t="s">
        <v>2826</v>
      </c>
      <c r="N457" t="s">
        <v>19</v>
      </c>
      <c r="O457" t="s">
        <v>19</v>
      </c>
      <c r="P457" t="s">
        <v>2827</v>
      </c>
      <c r="Q457">
        <v>8</v>
      </c>
      <c r="R457" t="s">
        <v>3878</v>
      </c>
    </row>
    <row r="458" spans="1:18" x14ac:dyDescent="0.2">
      <c r="A458" t="s">
        <v>2835</v>
      </c>
      <c r="B458" t="s">
        <v>2836</v>
      </c>
      <c r="C458" t="s">
        <v>2837</v>
      </c>
      <c r="D458" t="s">
        <v>2837</v>
      </c>
      <c r="E458" t="s">
        <v>2838</v>
      </c>
      <c r="F458" t="s">
        <v>2839</v>
      </c>
      <c r="G458" t="s">
        <v>2840</v>
      </c>
      <c r="H458" t="s">
        <v>3872</v>
      </c>
      <c r="I458" t="s">
        <v>2841</v>
      </c>
      <c r="J458">
        <v>160597.20000000001</v>
      </c>
      <c r="K458">
        <v>32913.86</v>
      </c>
      <c r="L458">
        <v>37850.94</v>
      </c>
      <c r="M458" t="s">
        <v>2833</v>
      </c>
      <c r="N458" t="s">
        <v>19</v>
      </c>
      <c r="O458" t="s">
        <v>19</v>
      </c>
      <c r="P458" t="s">
        <v>2834</v>
      </c>
      <c r="Q458">
        <v>34</v>
      </c>
      <c r="R458" t="s">
        <v>3876</v>
      </c>
    </row>
    <row r="459" spans="1:18" x14ac:dyDescent="0.2">
      <c r="A459" t="s">
        <v>2844</v>
      </c>
      <c r="B459" t="s">
        <v>1044</v>
      </c>
      <c r="C459" t="s">
        <v>121</v>
      </c>
      <c r="D459" t="s">
        <v>1045</v>
      </c>
      <c r="E459" t="s">
        <v>220</v>
      </c>
      <c r="F459" t="s">
        <v>2212</v>
      </c>
      <c r="G459" t="s">
        <v>2800</v>
      </c>
      <c r="H459" s="2" t="s">
        <v>3871</v>
      </c>
      <c r="I459" t="s">
        <v>2845</v>
      </c>
      <c r="J459">
        <v>8241.64</v>
      </c>
      <c r="K459">
        <v>160597.20000000001</v>
      </c>
      <c r="L459">
        <v>184686.79</v>
      </c>
      <c r="M459" t="s">
        <v>2842</v>
      </c>
      <c r="N459" t="s">
        <v>19</v>
      </c>
      <c r="O459" t="s">
        <v>19</v>
      </c>
      <c r="P459" t="s">
        <v>2843</v>
      </c>
      <c r="Q459">
        <v>2</v>
      </c>
      <c r="R459" t="s">
        <v>3878</v>
      </c>
    </row>
    <row r="460" spans="1:18" x14ac:dyDescent="0.2">
      <c r="A460" t="s">
        <v>2848</v>
      </c>
      <c r="B460" t="s">
        <v>970</v>
      </c>
      <c r="C460" t="s">
        <v>972</v>
      </c>
      <c r="D460" t="s">
        <v>972</v>
      </c>
      <c r="E460" t="s">
        <v>2849</v>
      </c>
      <c r="F460" t="s">
        <v>2212</v>
      </c>
      <c r="G460" t="s">
        <v>2800</v>
      </c>
      <c r="H460" t="s">
        <v>3872</v>
      </c>
      <c r="I460" t="s">
        <v>2850</v>
      </c>
      <c r="J460">
        <v>2324.5</v>
      </c>
      <c r="K460">
        <v>8241.64</v>
      </c>
      <c r="L460">
        <v>9477.89</v>
      </c>
      <c r="M460" t="s">
        <v>2846</v>
      </c>
      <c r="N460" t="s">
        <v>19</v>
      </c>
      <c r="O460" t="s">
        <v>19</v>
      </c>
      <c r="P460" t="s">
        <v>2847</v>
      </c>
      <c r="Q460">
        <v>0</v>
      </c>
      <c r="R460" t="s">
        <v>3876</v>
      </c>
    </row>
    <row r="461" spans="1:18" x14ac:dyDescent="0.2">
      <c r="A461" t="s">
        <v>2853</v>
      </c>
      <c r="B461" t="s">
        <v>2079</v>
      </c>
      <c r="C461" t="s">
        <v>2080</v>
      </c>
      <c r="D461" t="s">
        <v>2080</v>
      </c>
      <c r="E461" t="s">
        <v>2115</v>
      </c>
      <c r="F461" t="s">
        <v>2212</v>
      </c>
      <c r="G461" t="s">
        <v>2800</v>
      </c>
      <c r="H461" t="s">
        <v>3872</v>
      </c>
      <c r="I461" t="s">
        <v>2082</v>
      </c>
      <c r="J461">
        <v>138109.26</v>
      </c>
      <c r="K461">
        <v>2324.5</v>
      </c>
      <c r="L461">
        <v>2673.18</v>
      </c>
      <c r="M461" t="s">
        <v>2851</v>
      </c>
      <c r="N461" t="s">
        <v>19</v>
      </c>
      <c r="O461" t="s">
        <v>19</v>
      </c>
      <c r="P461" t="s">
        <v>2852</v>
      </c>
      <c r="Q461">
        <v>39</v>
      </c>
      <c r="R461" t="s">
        <v>3876</v>
      </c>
    </row>
    <row r="462" spans="1:18" x14ac:dyDescent="0.2">
      <c r="A462" t="s">
        <v>2856</v>
      </c>
      <c r="B462" t="s">
        <v>2857</v>
      </c>
      <c r="C462" t="s">
        <v>2858</v>
      </c>
      <c r="D462" t="s">
        <v>2859</v>
      </c>
      <c r="E462" t="s">
        <v>2860</v>
      </c>
      <c r="F462" t="s">
        <v>2212</v>
      </c>
      <c r="G462" t="s">
        <v>2800</v>
      </c>
      <c r="H462" t="s">
        <v>3872</v>
      </c>
      <c r="I462" t="s">
        <v>2861</v>
      </c>
      <c r="J462">
        <v>1720</v>
      </c>
      <c r="K462">
        <v>138109.26</v>
      </c>
      <c r="L462">
        <v>158825.65</v>
      </c>
      <c r="M462" t="s">
        <v>2854</v>
      </c>
      <c r="N462" t="s">
        <v>19</v>
      </c>
      <c r="O462" t="s">
        <v>19</v>
      </c>
      <c r="P462" t="s">
        <v>2855</v>
      </c>
      <c r="Q462">
        <v>0</v>
      </c>
      <c r="R462" t="s">
        <v>3878</v>
      </c>
    </row>
    <row r="463" spans="1:18" x14ac:dyDescent="0.2">
      <c r="A463" t="s">
        <v>2864</v>
      </c>
      <c r="B463" t="s">
        <v>49</v>
      </c>
      <c r="C463" t="s">
        <v>51</v>
      </c>
      <c r="D463" t="s">
        <v>51</v>
      </c>
      <c r="E463" t="s">
        <v>2865</v>
      </c>
      <c r="F463" t="s">
        <v>2212</v>
      </c>
      <c r="G463" t="s">
        <v>2800</v>
      </c>
      <c r="H463" t="s">
        <v>3872</v>
      </c>
      <c r="I463" t="s">
        <v>2866</v>
      </c>
      <c r="J463">
        <v>6303.54</v>
      </c>
      <c r="K463">
        <v>1720</v>
      </c>
      <c r="L463">
        <v>1978</v>
      </c>
      <c r="M463" t="s">
        <v>2862</v>
      </c>
      <c r="N463" t="s">
        <v>19</v>
      </c>
      <c r="O463" t="s">
        <v>19</v>
      </c>
      <c r="P463" t="s">
        <v>2863</v>
      </c>
      <c r="Q463">
        <v>1</v>
      </c>
      <c r="R463" t="s">
        <v>3878</v>
      </c>
    </row>
    <row r="464" spans="1:18" x14ac:dyDescent="0.2">
      <c r="A464" t="s">
        <v>2869</v>
      </c>
      <c r="B464" t="s">
        <v>2541</v>
      </c>
      <c r="C464" t="s">
        <v>2542</v>
      </c>
      <c r="D464" t="s">
        <v>2542</v>
      </c>
      <c r="E464" t="s">
        <v>2870</v>
      </c>
      <c r="F464" t="s">
        <v>2212</v>
      </c>
      <c r="G464" t="s">
        <v>2800</v>
      </c>
      <c r="H464" t="s">
        <v>3872</v>
      </c>
      <c r="I464" t="s">
        <v>2544</v>
      </c>
      <c r="J464">
        <v>230338.83</v>
      </c>
      <c r="K464">
        <v>6303.54</v>
      </c>
      <c r="L464">
        <v>7249.07</v>
      </c>
      <c r="M464" t="s">
        <v>2867</v>
      </c>
      <c r="N464" t="s">
        <v>19</v>
      </c>
      <c r="O464" t="s">
        <v>19</v>
      </c>
      <c r="P464" t="s">
        <v>2868</v>
      </c>
      <c r="Q464">
        <v>66</v>
      </c>
      <c r="R464" t="s">
        <v>3876</v>
      </c>
    </row>
    <row r="465" spans="1:18" x14ac:dyDescent="0.2">
      <c r="A465" t="s">
        <v>2873</v>
      </c>
      <c r="B465" t="s">
        <v>2822</v>
      </c>
      <c r="C465" t="s">
        <v>2823</v>
      </c>
      <c r="D465" t="s">
        <v>2823</v>
      </c>
      <c r="E465" t="s">
        <v>2874</v>
      </c>
      <c r="F465" t="s">
        <v>1483</v>
      </c>
      <c r="G465" t="s">
        <v>2875</v>
      </c>
      <c r="H465" t="s">
        <v>3872</v>
      </c>
      <c r="I465" t="s">
        <v>2825</v>
      </c>
      <c r="J465">
        <v>10265.44</v>
      </c>
      <c r="K465">
        <v>230338.83</v>
      </c>
      <c r="L465">
        <v>264889.65000000002</v>
      </c>
      <c r="M465" t="s">
        <v>2871</v>
      </c>
      <c r="N465" t="s">
        <v>19</v>
      </c>
      <c r="O465" t="s">
        <v>19</v>
      </c>
      <c r="P465" t="s">
        <v>2872</v>
      </c>
      <c r="Q465">
        <v>1</v>
      </c>
      <c r="R465" t="s">
        <v>3879</v>
      </c>
    </row>
    <row r="466" spans="1:18" x14ac:dyDescent="0.2">
      <c r="A466" t="s">
        <v>2878</v>
      </c>
      <c r="B466" t="s">
        <v>2879</v>
      </c>
      <c r="C466" t="s">
        <v>2880</v>
      </c>
      <c r="D466" t="s">
        <v>2880</v>
      </c>
      <c r="E466" t="s">
        <v>2881</v>
      </c>
      <c r="F466" t="s">
        <v>2278</v>
      </c>
      <c r="G466" t="s">
        <v>2882</v>
      </c>
      <c r="H466" t="s">
        <v>3872</v>
      </c>
      <c r="I466" t="s">
        <v>2883</v>
      </c>
      <c r="J466">
        <v>63579.96</v>
      </c>
      <c r="K466">
        <v>10265.44</v>
      </c>
      <c r="L466">
        <v>11805.26</v>
      </c>
      <c r="M466" t="s">
        <v>2876</v>
      </c>
      <c r="N466" t="s">
        <v>19</v>
      </c>
      <c r="O466" t="s">
        <v>19</v>
      </c>
      <c r="P466" t="s">
        <v>2877</v>
      </c>
      <c r="Q466">
        <v>8</v>
      </c>
      <c r="R466" t="s">
        <v>3876</v>
      </c>
    </row>
    <row r="467" spans="1:18" x14ac:dyDescent="0.2">
      <c r="A467" t="s">
        <v>2886</v>
      </c>
      <c r="B467" t="s">
        <v>1323</v>
      </c>
      <c r="C467" t="s">
        <v>1258</v>
      </c>
      <c r="D467" t="s">
        <v>1324</v>
      </c>
      <c r="E467" t="s">
        <v>824</v>
      </c>
      <c r="F467" t="s">
        <v>2887</v>
      </c>
      <c r="G467" t="s">
        <v>2888</v>
      </c>
      <c r="H467" s="2" t="s">
        <v>3871</v>
      </c>
      <c r="I467" t="s">
        <v>2889</v>
      </c>
      <c r="J467">
        <v>25318.66</v>
      </c>
      <c r="K467">
        <v>63579.96</v>
      </c>
      <c r="L467">
        <v>73116.95</v>
      </c>
      <c r="M467" t="s">
        <v>2884</v>
      </c>
      <c r="N467" t="s">
        <v>19</v>
      </c>
      <c r="O467" t="s">
        <v>19</v>
      </c>
      <c r="P467" t="s">
        <v>2885</v>
      </c>
      <c r="Q467">
        <v>2</v>
      </c>
      <c r="R467" t="s">
        <v>3876</v>
      </c>
    </row>
    <row r="468" spans="1:18" x14ac:dyDescent="0.2">
      <c r="A468" t="s">
        <v>2892</v>
      </c>
      <c r="B468" t="s">
        <v>505</v>
      </c>
      <c r="C468" t="s">
        <v>2893</v>
      </c>
      <c r="D468" t="s">
        <v>2893</v>
      </c>
      <c r="E468" t="s">
        <v>2894</v>
      </c>
      <c r="F468" t="s">
        <v>2256</v>
      </c>
      <c r="G468" t="s">
        <v>2895</v>
      </c>
      <c r="H468" t="s">
        <v>3872</v>
      </c>
      <c r="I468" t="s">
        <v>2896</v>
      </c>
      <c r="J468">
        <v>12871.93</v>
      </c>
      <c r="K468">
        <v>25318.66</v>
      </c>
      <c r="L468">
        <v>29116.46</v>
      </c>
      <c r="M468" t="s">
        <v>2890</v>
      </c>
      <c r="N468" t="s">
        <v>19</v>
      </c>
      <c r="O468" t="s">
        <v>19</v>
      </c>
      <c r="P468" t="s">
        <v>2891</v>
      </c>
      <c r="Q468">
        <v>1</v>
      </c>
      <c r="R468" t="s">
        <v>3878</v>
      </c>
    </row>
    <row r="469" spans="1:18" x14ac:dyDescent="0.2">
      <c r="A469" t="s">
        <v>2899</v>
      </c>
      <c r="B469" t="s">
        <v>2900</v>
      </c>
      <c r="C469" t="s">
        <v>1853</v>
      </c>
      <c r="D469" t="s">
        <v>2900</v>
      </c>
      <c r="E469" t="s">
        <v>2901</v>
      </c>
      <c r="F469" t="s">
        <v>2887</v>
      </c>
      <c r="G469" t="s">
        <v>2888</v>
      </c>
      <c r="H469" t="s">
        <v>3872</v>
      </c>
      <c r="I469" t="s">
        <v>2902</v>
      </c>
      <c r="J469">
        <v>60895.59</v>
      </c>
      <c r="K469">
        <v>12871.93</v>
      </c>
      <c r="L469">
        <v>14802.73</v>
      </c>
      <c r="M469" t="s">
        <v>2897</v>
      </c>
      <c r="N469" t="s">
        <v>19</v>
      </c>
      <c r="O469" t="s">
        <v>19</v>
      </c>
      <c r="P469" t="s">
        <v>2898</v>
      </c>
      <c r="Q469">
        <v>6</v>
      </c>
      <c r="R469" t="s">
        <v>3876</v>
      </c>
    </row>
    <row r="470" spans="1:18" x14ac:dyDescent="0.2">
      <c r="A470" t="s">
        <v>2905</v>
      </c>
      <c r="B470" t="s">
        <v>2660</v>
      </c>
      <c r="C470" t="s">
        <v>2661</v>
      </c>
      <c r="D470" t="s">
        <v>2662</v>
      </c>
      <c r="E470" t="s">
        <v>2906</v>
      </c>
      <c r="F470" t="s">
        <v>2907</v>
      </c>
      <c r="G470" t="s">
        <v>2908</v>
      </c>
      <c r="H470" t="s">
        <v>3872</v>
      </c>
      <c r="I470" t="s">
        <v>2909</v>
      </c>
      <c r="J470">
        <v>2248.1</v>
      </c>
      <c r="K470">
        <v>60895.59</v>
      </c>
      <c r="L470">
        <v>70029.919999999998</v>
      </c>
      <c r="M470" t="s">
        <v>2903</v>
      </c>
      <c r="N470" t="s">
        <v>19</v>
      </c>
      <c r="O470" t="s">
        <v>19</v>
      </c>
      <c r="P470" t="s">
        <v>2904</v>
      </c>
      <c r="Q470">
        <v>1</v>
      </c>
      <c r="R470" t="s">
        <v>3878</v>
      </c>
    </row>
    <row r="471" spans="1:18" x14ac:dyDescent="0.2">
      <c r="A471" t="s">
        <v>2912</v>
      </c>
      <c r="B471" t="s">
        <v>869</v>
      </c>
      <c r="C471" t="s">
        <v>871</v>
      </c>
      <c r="D471" t="s">
        <v>872</v>
      </c>
      <c r="E471" t="s">
        <v>2913</v>
      </c>
      <c r="F471" t="s">
        <v>2256</v>
      </c>
      <c r="G471" t="s">
        <v>2895</v>
      </c>
      <c r="H471" t="s">
        <v>3872</v>
      </c>
      <c r="I471" t="s">
        <v>2914</v>
      </c>
      <c r="J471">
        <v>1822.48</v>
      </c>
      <c r="K471">
        <v>2248.1</v>
      </c>
      <c r="L471">
        <v>2585.3200000000002</v>
      </c>
      <c r="M471" t="s">
        <v>2910</v>
      </c>
      <c r="N471" t="s">
        <v>19</v>
      </c>
      <c r="O471" t="s">
        <v>772</v>
      </c>
      <c r="P471" t="s">
        <v>2911</v>
      </c>
      <c r="Q471">
        <v>1</v>
      </c>
      <c r="R471" t="s">
        <v>3877</v>
      </c>
    </row>
    <row r="472" spans="1:18" x14ac:dyDescent="0.2">
      <c r="A472" t="s">
        <v>2917</v>
      </c>
      <c r="B472" t="s">
        <v>850</v>
      </c>
      <c r="C472" t="s">
        <v>851</v>
      </c>
      <c r="D472" t="s">
        <v>851</v>
      </c>
      <c r="E472" t="s">
        <v>2918</v>
      </c>
      <c r="F472" t="s">
        <v>2919</v>
      </c>
      <c r="G472" t="s">
        <v>2920</v>
      </c>
      <c r="H472" t="s">
        <v>3872</v>
      </c>
      <c r="I472" t="s">
        <v>2921</v>
      </c>
      <c r="J472">
        <v>3874.18</v>
      </c>
      <c r="K472">
        <v>1822.48</v>
      </c>
      <c r="L472">
        <v>2095.85</v>
      </c>
      <c r="M472" t="s">
        <v>2915</v>
      </c>
      <c r="N472" t="s">
        <v>19</v>
      </c>
      <c r="O472" t="s">
        <v>19</v>
      </c>
      <c r="P472" t="s">
        <v>2916</v>
      </c>
      <c r="Q472">
        <v>2</v>
      </c>
      <c r="R472" t="s">
        <v>3877</v>
      </c>
    </row>
    <row r="473" spans="1:18" x14ac:dyDescent="0.2">
      <c r="A473" t="s">
        <v>2924</v>
      </c>
      <c r="B473" t="s">
        <v>1737</v>
      </c>
      <c r="C473" t="s">
        <v>2185</v>
      </c>
      <c r="D473" t="s">
        <v>2186</v>
      </c>
      <c r="E473" t="s">
        <v>2925</v>
      </c>
      <c r="F473" t="s">
        <v>2887</v>
      </c>
      <c r="G473" t="s">
        <v>2888</v>
      </c>
      <c r="H473" s="2" t="s">
        <v>3871</v>
      </c>
      <c r="I473" t="s">
        <v>2926</v>
      </c>
      <c r="J473">
        <v>2384.65</v>
      </c>
      <c r="K473">
        <v>3874.18</v>
      </c>
      <c r="L473">
        <v>4455.3100000000004</v>
      </c>
      <c r="M473" t="s">
        <v>2922</v>
      </c>
      <c r="N473" t="s">
        <v>19</v>
      </c>
      <c r="O473" t="s">
        <v>772</v>
      </c>
      <c r="P473" t="s">
        <v>2923</v>
      </c>
      <c r="Q473">
        <v>1</v>
      </c>
      <c r="R473" t="s">
        <v>3876</v>
      </c>
    </row>
    <row r="474" spans="1:18" x14ac:dyDescent="0.2">
      <c r="A474" t="s">
        <v>2929</v>
      </c>
      <c r="B474" t="s">
        <v>2930</v>
      </c>
      <c r="C474" t="s">
        <v>2930</v>
      </c>
      <c r="D474" t="s">
        <v>2931</v>
      </c>
      <c r="E474" t="s">
        <v>220</v>
      </c>
      <c r="F474" t="s">
        <v>2887</v>
      </c>
      <c r="G474" t="s">
        <v>2888</v>
      </c>
      <c r="H474" s="2" t="s">
        <v>3871</v>
      </c>
      <c r="I474" t="s">
        <v>2932</v>
      </c>
      <c r="J474">
        <v>8841.64</v>
      </c>
      <c r="K474">
        <v>2384.65</v>
      </c>
      <c r="L474">
        <v>2742.35</v>
      </c>
      <c r="M474" t="s">
        <v>2927</v>
      </c>
      <c r="N474" t="s">
        <v>19</v>
      </c>
      <c r="O474" t="s">
        <v>19</v>
      </c>
      <c r="P474" t="s">
        <v>2928</v>
      </c>
      <c r="Q474">
        <v>2</v>
      </c>
      <c r="R474" t="s">
        <v>3878</v>
      </c>
    </row>
    <row r="475" spans="1:18" x14ac:dyDescent="0.2">
      <c r="A475" t="s">
        <v>2935</v>
      </c>
      <c r="B475" t="s">
        <v>245</v>
      </c>
      <c r="C475" t="s">
        <v>558</v>
      </c>
      <c r="D475" t="s">
        <v>559</v>
      </c>
      <c r="E475" t="s">
        <v>2936</v>
      </c>
      <c r="F475" t="s">
        <v>2256</v>
      </c>
      <c r="G475" t="s">
        <v>2895</v>
      </c>
      <c r="H475" t="s">
        <v>3872</v>
      </c>
      <c r="I475" t="s">
        <v>2937</v>
      </c>
      <c r="J475">
        <v>7169</v>
      </c>
      <c r="K475">
        <v>8841.64</v>
      </c>
      <c r="L475">
        <v>10167.89</v>
      </c>
      <c r="M475" t="s">
        <v>2933</v>
      </c>
      <c r="N475" t="s">
        <v>19</v>
      </c>
      <c r="O475" t="s">
        <v>19</v>
      </c>
      <c r="P475" t="s">
        <v>2934</v>
      </c>
      <c r="Q475">
        <v>0</v>
      </c>
      <c r="R475" t="s">
        <v>3876</v>
      </c>
    </row>
    <row r="476" spans="1:18" x14ac:dyDescent="0.2">
      <c r="A476" t="s">
        <v>2940</v>
      </c>
      <c r="B476" t="s">
        <v>2941</v>
      </c>
      <c r="C476" t="s">
        <v>2942</v>
      </c>
      <c r="D476" t="s">
        <v>2942</v>
      </c>
      <c r="E476" t="s">
        <v>2943</v>
      </c>
      <c r="F476" t="s">
        <v>2256</v>
      </c>
      <c r="G476" t="s">
        <v>2895</v>
      </c>
      <c r="H476" t="s">
        <v>3872</v>
      </c>
      <c r="I476" t="s">
        <v>2944</v>
      </c>
      <c r="J476">
        <v>9223.44</v>
      </c>
      <c r="K476">
        <v>7169</v>
      </c>
      <c r="L476">
        <v>8244.35</v>
      </c>
      <c r="M476" t="s">
        <v>2938</v>
      </c>
      <c r="N476" t="s">
        <v>19</v>
      </c>
      <c r="O476" t="s">
        <v>772</v>
      </c>
      <c r="P476" t="s">
        <v>2939</v>
      </c>
      <c r="Q476">
        <v>1</v>
      </c>
      <c r="R476" t="s">
        <v>3878</v>
      </c>
    </row>
    <row r="477" spans="1:18" x14ac:dyDescent="0.2">
      <c r="A477" t="s">
        <v>2947</v>
      </c>
      <c r="B477" t="s">
        <v>881</v>
      </c>
      <c r="C477" t="s">
        <v>14</v>
      </c>
      <c r="D477" t="s">
        <v>14</v>
      </c>
      <c r="E477" t="s">
        <v>2948</v>
      </c>
      <c r="F477" t="s">
        <v>2907</v>
      </c>
      <c r="G477" t="s">
        <v>2908</v>
      </c>
      <c r="H477" s="2" t="s">
        <v>3871</v>
      </c>
      <c r="I477" t="s">
        <v>2949</v>
      </c>
      <c r="J477">
        <v>6479.36</v>
      </c>
      <c r="K477">
        <v>9223.44</v>
      </c>
      <c r="L477">
        <v>10606.96</v>
      </c>
      <c r="M477" t="s">
        <v>2945</v>
      </c>
      <c r="N477" t="s">
        <v>19</v>
      </c>
      <c r="O477" t="s">
        <v>19</v>
      </c>
      <c r="P477" t="s">
        <v>2946</v>
      </c>
      <c r="Q477">
        <v>1</v>
      </c>
      <c r="R477" t="s">
        <v>3876</v>
      </c>
    </row>
    <row r="478" spans="1:18" x14ac:dyDescent="0.2">
      <c r="A478" t="s">
        <v>2952</v>
      </c>
      <c r="B478" t="s">
        <v>2900</v>
      </c>
      <c r="C478" t="s">
        <v>1853</v>
      </c>
      <c r="D478" t="s">
        <v>2900</v>
      </c>
      <c r="E478" t="s">
        <v>2901</v>
      </c>
      <c r="F478" t="s">
        <v>2367</v>
      </c>
      <c r="G478" t="s">
        <v>2895</v>
      </c>
      <c r="H478" t="s">
        <v>3872</v>
      </c>
      <c r="I478" t="s">
        <v>2902</v>
      </c>
      <c r="J478">
        <v>22306.799999999999</v>
      </c>
      <c r="K478">
        <v>6479.36</v>
      </c>
      <c r="L478">
        <v>7451.26</v>
      </c>
      <c r="M478" t="s">
        <v>2950</v>
      </c>
      <c r="N478" t="s">
        <v>19</v>
      </c>
      <c r="O478" t="s">
        <v>19</v>
      </c>
      <c r="P478" t="s">
        <v>2951</v>
      </c>
      <c r="Q478">
        <v>2</v>
      </c>
      <c r="R478" t="s">
        <v>3876</v>
      </c>
    </row>
    <row r="479" spans="1:18" x14ac:dyDescent="0.2">
      <c r="A479" t="s">
        <v>2955</v>
      </c>
      <c r="B479" t="s">
        <v>245</v>
      </c>
      <c r="C479" t="s">
        <v>558</v>
      </c>
      <c r="D479" t="s">
        <v>559</v>
      </c>
      <c r="E479" t="s">
        <v>2956</v>
      </c>
      <c r="F479" t="s">
        <v>2256</v>
      </c>
      <c r="G479" t="s">
        <v>2957</v>
      </c>
      <c r="H479" t="s">
        <v>3872</v>
      </c>
      <c r="I479" t="s">
        <v>2937</v>
      </c>
      <c r="J479">
        <v>1350</v>
      </c>
      <c r="K479">
        <v>22306.799999999999</v>
      </c>
      <c r="L479">
        <v>25652.82</v>
      </c>
      <c r="M479" t="s">
        <v>2953</v>
      </c>
      <c r="N479" t="s">
        <v>19</v>
      </c>
      <c r="O479" t="s">
        <v>19</v>
      </c>
      <c r="P479" t="s">
        <v>2954</v>
      </c>
      <c r="Q479">
        <v>0</v>
      </c>
      <c r="R479" t="s">
        <v>3876</v>
      </c>
    </row>
    <row r="480" spans="1:18" x14ac:dyDescent="0.2">
      <c r="A480" t="s">
        <v>2960</v>
      </c>
      <c r="B480" t="s">
        <v>245</v>
      </c>
      <c r="C480" t="s">
        <v>558</v>
      </c>
      <c r="D480" t="s">
        <v>559</v>
      </c>
      <c r="E480" t="s">
        <v>2961</v>
      </c>
      <c r="F480" t="s">
        <v>2256</v>
      </c>
      <c r="G480" t="s">
        <v>2957</v>
      </c>
      <c r="H480" t="s">
        <v>3872</v>
      </c>
      <c r="I480" t="s">
        <v>2937</v>
      </c>
      <c r="J480">
        <v>1200</v>
      </c>
      <c r="K480">
        <v>1350</v>
      </c>
      <c r="L480">
        <v>1552.5</v>
      </c>
      <c r="M480" t="s">
        <v>2958</v>
      </c>
      <c r="N480" t="s">
        <v>19</v>
      </c>
      <c r="O480" t="s">
        <v>772</v>
      </c>
      <c r="P480" t="s">
        <v>2959</v>
      </c>
      <c r="Q480">
        <v>0</v>
      </c>
      <c r="R480" t="s">
        <v>3878</v>
      </c>
    </row>
    <row r="481" spans="1:18" x14ac:dyDescent="0.2">
      <c r="A481" t="s">
        <v>2964</v>
      </c>
      <c r="B481" t="s">
        <v>119</v>
      </c>
      <c r="C481" t="s">
        <v>1258</v>
      </c>
      <c r="D481" t="s">
        <v>1451</v>
      </c>
      <c r="E481" t="s">
        <v>2965</v>
      </c>
      <c r="F481" t="s">
        <v>2256</v>
      </c>
      <c r="G481" t="s">
        <v>2957</v>
      </c>
      <c r="H481" t="s">
        <v>3872</v>
      </c>
      <c r="I481" t="s">
        <v>2966</v>
      </c>
      <c r="J481">
        <v>4081.75</v>
      </c>
      <c r="K481">
        <v>1200</v>
      </c>
      <c r="L481">
        <v>1380</v>
      </c>
      <c r="M481" t="s">
        <v>2962</v>
      </c>
      <c r="N481" t="s">
        <v>19</v>
      </c>
      <c r="O481" t="s">
        <v>772</v>
      </c>
      <c r="P481" t="s">
        <v>2963</v>
      </c>
      <c r="Q481">
        <v>1</v>
      </c>
      <c r="R481" t="s">
        <v>3876</v>
      </c>
    </row>
    <row r="482" spans="1:18" x14ac:dyDescent="0.2">
      <c r="A482" t="s">
        <v>2969</v>
      </c>
      <c r="B482" t="s">
        <v>119</v>
      </c>
      <c r="C482" t="s">
        <v>1258</v>
      </c>
      <c r="D482" t="s">
        <v>1451</v>
      </c>
      <c r="E482" t="s">
        <v>2970</v>
      </c>
      <c r="F482" t="s">
        <v>2256</v>
      </c>
      <c r="G482" t="s">
        <v>2957</v>
      </c>
      <c r="H482" t="s">
        <v>3872</v>
      </c>
      <c r="I482" t="s">
        <v>2966</v>
      </c>
      <c r="J482">
        <v>10489.75</v>
      </c>
      <c r="K482">
        <v>4081.75</v>
      </c>
      <c r="L482">
        <v>4694.01</v>
      </c>
      <c r="M482" t="s">
        <v>2967</v>
      </c>
      <c r="N482" t="s">
        <v>19</v>
      </c>
      <c r="O482" t="s">
        <v>19</v>
      </c>
      <c r="P482" t="s">
        <v>2968</v>
      </c>
      <c r="Q482">
        <v>1</v>
      </c>
      <c r="R482" t="s">
        <v>3876</v>
      </c>
    </row>
    <row r="483" spans="1:18" x14ac:dyDescent="0.2">
      <c r="A483" t="s">
        <v>2973</v>
      </c>
      <c r="B483" t="s">
        <v>2974</v>
      </c>
      <c r="C483" t="s">
        <v>1853</v>
      </c>
      <c r="D483" t="s">
        <v>227</v>
      </c>
      <c r="E483" t="s">
        <v>283</v>
      </c>
      <c r="F483" t="s">
        <v>2975</v>
      </c>
      <c r="G483" t="s">
        <v>2976</v>
      </c>
      <c r="H483" s="2" t="s">
        <v>3871</v>
      </c>
      <c r="I483" t="s">
        <v>2977</v>
      </c>
      <c r="J483">
        <v>482556.01</v>
      </c>
      <c r="K483">
        <v>10489.75</v>
      </c>
      <c r="L483">
        <v>12063.21</v>
      </c>
      <c r="M483" t="s">
        <v>2971</v>
      </c>
      <c r="N483" t="s">
        <v>19</v>
      </c>
      <c r="O483" t="s">
        <v>19</v>
      </c>
      <c r="P483" t="s">
        <v>2972</v>
      </c>
      <c r="Q483">
        <v>234</v>
      </c>
      <c r="R483" t="s">
        <v>3876</v>
      </c>
    </row>
    <row r="484" spans="1:18" x14ac:dyDescent="0.2">
      <c r="A484" t="s">
        <v>2980</v>
      </c>
      <c r="B484" t="s">
        <v>148</v>
      </c>
      <c r="C484" t="s">
        <v>2981</v>
      </c>
      <c r="D484" t="s">
        <v>2981</v>
      </c>
      <c r="E484" t="s">
        <v>2982</v>
      </c>
      <c r="F484" t="s">
        <v>2983</v>
      </c>
      <c r="G484" t="s">
        <v>2984</v>
      </c>
      <c r="H484" t="s">
        <v>3872</v>
      </c>
      <c r="I484" t="s">
        <v>2985</v>
      </c>
      <c r="J484">
        <v>59306.13</v>
      </c>
      <c r="K484">
        <v>482556.01</v>
      </c>
      <c r="L484">
        <v>554939.41</v>
      </c>
      <c r="M484" t="s">
        <v>2978</v>
      </c>
      <c r="N484" t="s">
        <v>19</v>
      </c>
      <c r="O484" t="s">
        <v>19</v>
      </c>
      <c r="P484" t="s">
        <v>2979</v>
      </c>
      <c r="Q484">
        <v>7</v>
      </c>
      <c r="R484" t="s">
        <v>3876</v>
      </c>
    </row>
    <row r="485" spans="1:18" x14ac:dyDescent="0.2">
      <c r="A485" t="s">
        <v>2988</v>
      </c>
      <c r="B485" t="s">
        <v>148</v>
      </c>
      <c r="C485" t="s">
        <v>2989</v>
      </c>
      <c r="D485" t="s">
        <v>2990</v>
      </c>
      <c r="E485" t="s">
        <v>2991</v>
      </c>
      <c r="F485" t="s">
        <v>2983</v>
      </c>
      <c r="G485" t="s">
        <v>2984</v>
      </c>
      <c r="H485" t="s">
        <v>3872</v>
      </c>
      <c r="I485" t="s">
        <v>2992</v>
      </c>
      <c r="J485">
        <v>147471.66</v>
      </c>
      <c r="K485">
        <v>59306.13</v>
      </c>
      <c r="L485">
        <v>68202.06</v>
      </c>
      <c r="M485" t="s">
        <v>2986</v>
      </c>
      <c r="N485" t="s">
        <v>19</v>
      </c>
      <c r="O485" t="s">
        <v>19</v>
      </c>
      <c r="P485" t="s">
        <v>2987</v>
      </c>
      <c r="Q485">
        <v>30</v>
      </c>
      <c r="R485" t="s">
        <v>3876</v>
      </c>
    </row>
    <row r="486" spans="1:18" x14ac:dyDescent="0.2">
      <c r="A486" t="s">
        <v>2995</v>
      </c>
      <c r="B486" t="s">
        <v>148</v>
      </c>
      <c r="C486" t="s">
        <v>2996</v>
      </c>
      <c r="D486" t="s">
        <v>2997</v>
      </c>
      <c r="E486" t="s">
        <v>2998</v>
      </c>
      <c r="F486" t="s">
        <v>2983</v>
      </c>
      <c r="G486" t="s">
        <v>2984</v>
      </c>
      <c r="H486" t="s">
        <v>3872</v>
      </c>
      <c r="I486" t="s">
        <v>2999</v>
      </c>
      <c r="J486">
        <v>152494.35</v>
      </c>
      <c r="K486">
        <v>147471.66</v>
      </c>
      <c r="L486">
        <v>169592.41</v>
      </c>
      <c r="M486" t="s">
        <v>2993</v>
      </c>
      <c r="N486" t="s">
        <v>19</v>
      </c>
      <c r="O486" t="s">
        <v>19</v>
      </c>
      <c r="P486" t="s">
        <v>2994</v>
      </c>
      <c r="Q486">
        <v>25</v>
      </c>
      <c r="R486" t="s">
        <v>3876</v>
      </c>
    </row>
    <row r="487" spans="1:18" x14ac:dyDescent="0.2">
      <c r="A487" t="s">
        <v>3002</v>
      </c>
      <c r="B487" t="s">
        <v>148</v>
      </c>
      <c r="C487" t="s">
        <v>3003</v>
      </c>
      <c r="D487" t="s">
        <v>3004</v>
      </c>
      <c r="E487" t="s">
        <v>3005</v>
      </c>
      <c r="F487" t="s">
        <v>2983</v>
      </c>
      <c r="G487" t="s">
        <v>2984</v>
      </c>
      <c r="H487" t="s">
        <v>3872</v>
      </c>
      <c r="I487" t="s">
        <v>3006</v>
      </c>
      <c r="J487">
        <v>39955.699999999997</v>
      </c>
      <c r="K487">
        <v>152494.35</v>
      </c>
      <c r="L487">
        <v>175368.51</v>
      </c>
      <c r="M487" t="s">
        <v>3000</v>
      </c>
      <c r="N487" t="s">
        <v>19</v>
      </c>
      <c r="O487" t="s">
        <v>19</v>
      </c>
      <c r="P487" t="s">
        <v>3001</v>
      </c>
      <c r="Q487">
        <v>7</v>
      </c>
      <c r="R487" t="s">
        <v>3876</v>
      </c>
    </row>
    <row r="488" spans="1:18" x14ac:dyDescent="0.2">
      <c r="A488" t="s">
        <v>3009</v>
      </c>
      <c r="B488" t="s">
        <v>148</v>
      </c>
      <c r="C488" t="s">
        <v>3010</v>
      </c>
      <c r="D488" t="s">
        <v>3011</v>
      </c>
      <c r="E488" t="s">
        <v>3012</v>
      </c>
      <c r="F488" t="s">
        <v>2983</v>
      </c>
      <c r="G488" t="s">
        <v>2984</v>
      </c>
      <c r="H488" t="s">
        <v>3872</v>
      </c>
      <c r="I488" t="s">
        <v>3013</v>
      </c>
      <c r="J488">
        <v>54436.480000000003</v>
      </c>
      <c r="K488">
        <v>39955.699999999997</v>
      </c>
      <c r="L488">
        <v>45949.05</v>
      </c>
      <c r="M488" t="s">
        <v>3007</v>
      </c>
      <c r="N488" t="s">
        <v>19</v>
      </c>
      <c r="O488" t="s">
        <v>19</v>
      </c>
      <c r="P488" t="s">
        <v>3008</v>
      </c>
      <c r="Q488">
        <v>12</v>
      </c>
      <c r="R488" t="s">
        <v>3876</v>
      </c>
    </row>
    <row r="489" spans="1:18" x14ac:dyDescent="0.2">
      <c r="A489" t="s">
        <v>3016</v>
      </c>
      <c r="B489" t="s">
        <v>148</v>
      </c>
      <c r="C489" t="s">
        <v>3017</v>
      </c>
      <c r="D489" t="s">
        <v>3018</v>
      </c>
      <c r="E489" t="s">
        <v>3019</v>
      </c>
      <c r="F489" t="s">
        <v>2983</v>
      </c>
      <c r="G489" t="s">
        <v>2984</v>
      </c>
      <c r="H489" t="s">
        <v>3872</v>
      </c>
      <c r="I489" t="s">
        <v>3020</v>
      </c>
      <c r="J489">
        <v>78183.5</v>
      </c>
      <c r="K489">
        <v>54436.480000000003</v>
      </c>
      <c r="L489">
        <v>62601.96</v>
      </c>
      <c r="M489" t="s">
        <v>3014</v>
      </c>
      <c r="N489" t="s">
        <v>19</v>
      </c>
      <c r="O489" t="s">
        <v>19</v>
      </c>
      <c r="P489" t="s">
        <v>3015</v>
      </c>
      <c r="Q489">
        <v>16</v>
      </c>
      <c r="R489" t="s">
        <v>3876</v>
      </c>
    </row>
    <row r="490" spans="1:18" x14ac:dyDescent="0.2">
      <c r="A490" t="s">
        <v>3024</v>
      </c>
      <c r="B490" t="s">
        <v>2068</v>
      </c>
      <c r="C490" t="s">
        <v>14</v>
      </c>
      <c r="D490" t="s">
        <v>14</v>
      </c>
      <c r="E490" t="s">
        <v>3025</v>
      </c>
      <c r="F490" t="s">
        <v>2983</v>
      </c>
      <c r="G490" t="s">
        <v>2984</v>
      </c>
      <c r="H490" t="s">
        <v>3872</v>
      </c>
      <c r="I490" t="s">
        <v>3026</v>
      </c>
      <c r="J490">
        <v>33578.639999999999</v>
      </c>
      <c r="K490">
        <v>78183.5</v>
      </c>
      <c r="L490">
        <v>89911.02</v>
      </c>
      <c r="M490" t="s">
        <v>3021</v>
      </c>
      <c r="N490" t="s">
        <v>19</v>
      </c>
      <c r="O490" t="s">
        <v>3022</v>
      </c>
      <c r="P490" t="s">
        <v>3023</v>
      </c>
      <c r="Q490">
        <v>4</v>
      </c>
      <c r="R490" t="s">
        <v>3879</v>
      </c>
    </row>
    <row r="491" spans="1:18" x14ac:dyDescent="0.2">
      <c r="A491" t="s">
        <v>3029</v>
      </c>
      <c r="B491" t="s">
        <v>569</v>
      </c>
      <c r="C491" t="s">
        <v>3030</v>
      </c>
      <c r="D491" t="s">
        <v>3031</v>
      </c>
      <c r="E491" t="s">
        <v>3032</v>
      </c>
      <c r="F491" t="s">
        <v>2984</v>
      </c>
      <c r="G491" t="s">
        <v>3033</v>
      </c>
      <c r="H491" t="s">
        <v>3872</v>
      </c>
      <c r="I491" t="s">
        <v>3034</v>
      </c>
      <c r="J491">
        <v>221551.76</v>
      </c>
      <c r="K491">
        <v>33578.639999999999</v>
      </c>
      <c r="L491">
        <v>38615.43</v>
      </c>
      <c r="M491" t="s">
        <v>3027</v>
      </c>
      <c r="N491" t="s">
        <v>19</v>
      </c>
      <c r="O491" t="s">
        <v>19</v>
      </c>
      <c r="P491" t="s">
        <v>3028</v>
      </c>
      <c r="Q491">
        <v>37</v>
      </c>
      <c r="R491" t="s">
        <v>3876</v>
      </c>
    </row>
    <row r="492" spans="1:18" x14ac:dyDescent="0.2">
      <c r="A492" t="s">
        <v>3037</v>
      </c>
      <c r="B492" t="s">
        <v>1710</v>
      </c>
      <c r="C492" t="s">
        <v>759</v>
      </c>
      <c r="D492" t="s">
        <v>160</v>
      </c>
      <c r="E492" t="s">
        <v>1473</v>
      </c>
      <c r="F492" t="s">
        <v>2515</v>
      </c>
      <c r="G492" t="s">
        <v>3038</v>
      </c>
      <c r="H492" s="2" t="s">
        <v>3871</v>
      </c>
      <c r="I492" t="s">
        <v>3039</v>
      </c>
      <c r="J492">
        <v>12966</v>
      </c>
      <c r="K492">
        <v>221551.76</v>
      </c>
      <c r="L492">
        <v>254784.52</v>
      </c>
      <c r="M492" t="s">
        <v>3035</v>
      </c>
      <c r="N492" t="s">
        <v>19</v>
      </c>
      <c r="O492" t="s">
        <v>19</v>
      </c>
      <c r="P492" t="s">
        <v>3036</v>
      </c>
      <c r="Q492">
        <v>0</v>
      </c>
      <c r="R492" t="s">
        <v>3879</v>
      </c>
    </row>
    <row r="493" spans="1:18" x14ac:dyDescent="0.2">
      <c r="A493" t="s">
        <v>3042</v>
      </c>
      <c r="B493" t="s">
        <v>2857</v>
      </c>
      <c r="C493" t="s">
        <v>2858</v>
      </c>
      <c r="D493" t="s">
        <v>2858</v>
      </c>
      <c r="E493" t="s">
        <v>3043</v>
      </c>
      <c r="F493" t="s">
        <v>2711</v>
      </c>
      <c r="G493" t="s">
        <v>2722</v>
      </c>
      <c r="H493" t="s">
        <v>3872</v>
      </c>
      <c r="I493" t="s">
        <v>3044</v>
      </c>
      <c r="J493">
        <v>23021.69</v>
      </c>
      <c r="K493">
        <v>12966</v>
      </c>
      <c r="L493">
        <v>14910.9</v>
      </c>
      <c r="M493" t="s">
        <v>3040</v>
      </c>
      <c r="N493" t="s">
        <v>19</v>
      </c>
      <c r="O493" t="s">
        <v>19</v>
      </c>
      <c r="P493" t="s">
        <v>3041</v>
      </c>
      <c r="Q493">
        <v>1</v>
      </c>
      <c r="R493" t="s">
        <v>3879</v>
      </c>
    </row>
    <row r="494" spans="1:18" x14ac:dyDescent="0.2">
      <c r="A494" t="s">
        <v>3047</v>
      </c>
      <c r="B494" t="s">
        <v>1078</v>
      </c>
      <c r="C494" t="s">
        <v>1078</v>
      </c>
      <c r="D494" t="s">
        <v>1078</v>
      </c>
      <c r="E494" t="s">
        <v>3048</v>
      </c>
      <c r="F494" t="s">
        <v>2919</v>
      </c>
      <c r="G494" t="s">
        <v>3049</v>
      </c>
      <c r="H494" t="s">
        <v>3872</v>
      </c>
      <c r="I494" t="s">
        <v>3050</v>
      </c>
      <c r="J494">
        <v>23433.27</v>
      </c>
      <c r="K494">
        <v>23021.69</v>
      </c>
      <c r="L494">
        <v>26474.94</v>
      </c>
      <c r="M494" t="s">
        <v>3045</v>
      </c>
      <c r="N494" t="s">
        <v>19</v>
      </c>
      <c r="O494" t="s">
        <v>19</v>
      </c>
      <c r="P494" t="s">
        <v>3046</v>
      </c>
      <c r="Q494">
        <v>3</v>
      </c>
      <c r="R494" t="s">
        <v>3876</v>
      </c>
    </row>
    <row r="495" spans="1:18" x14ac:dyDescent="0.2">
      <c r="A495" t="s">
        <v>3053</v>
      </c>
      <c r="B495" t="s">
        <v>505</v>
      </c>
      <c r="C495" t="s">
        <v>3054</v>
      </c>
      <c r="D495" t="s">
        <v>3054</v>
      </c>
      <c r="E495" t="s">
        <v>3055</v>
      </c>
      <c r="F495" t="s">
        <v>2515</v>
      </c>
      <c r="G495" t="s">
        <v>3038</v>
      </c>
      <c r="H495" t="s">
        <v>3872</v>
      </c>
      <c r="I495" t="s">
        <v>3056</v>
      </c>
      <c r="J495">
        <v>8569.58</v>
      </c>
      <c r="K495">
        <v>23433.27</v>
      </c>
      <c r="L495">
        <v>26948.25</v>
      </c>
      <c r="M495" t="s">
        <v>3051</v>
      </c>
      <c r="N495" t="s">
        <v>19</v>
      </c>
      <c r="O495" t="s">
        <v>19</v>
      </c>
      <c r="P495" t="s">
        <v>3052</v>
      </c>
      <c r="Q495">
        <v>2</v>
      </c>
      <c r="R495" t="s">
        <v>3878</v>
      </c>
    </row>
    <row r="496" spans="1:18" x14ac:dyDescent="0.2">
      <c r="A496" t="s">
        <v>3059</v>
      </c>
      <c r="B496" t="s">
        <v>505</v>
      </c>
      <c r="C496" t="s">
        <v>3060</v>
      </c>
      <c r="D496" t="s">
        <v>3060</v>
      </c>
      <c r="E496" t="s">
        <v>3061</v>
      </c>
      <c r="F496" t="s">
        <v>2515</v>
      </c>
      <c r="G496" t="s">
        <v>3038</v>
      </c>
      <c r="H496" t="s">
        <v>3872</v>
      </c>
      <c r="I496" t="s">
        <v>3062</v>
      </c>
      <c r="J496">
        <v>2035.29</v>
      </c>
      <c r="K496">
        <v>8569.58</v>
      </c>
      <c r="L496">
        <v>9855.02</v>
      </c>
      <c r="M496" t="s">
        <v>3057</v>
      </c>
      <c r="N496" t="s">
        <v>19</v>
      </c>
      <c r="O496" t="s">
        <v>772</v>
      </c>
      <c r="P496" t="s">
        <v>3058</v>
      </c>
      <c r="Q496">
        <v>1</v>
      </c>
      <c r="R496" t="s">
        <v>3878</v>
      </c>
    </row>
    <row r="497" spans="1:18" x14ac:dyDescent="0.2">
      <c r="A497" t="s">
        <v>3065</v>
      </c>
      <c r="B497" t="s">
        <v>780</v>
      </c>
      <c r="C497" t="s">
        <v>782</v>
      </c>
      <c r="D497" t="s">
        <v>782</v>
      </c>
      <c r="E497" t="s">
        <v>3066</v>
      </c>
      <c r="F497" t="s">
        <v>2711</v>
      </c>
      <c r="G497" t="s">
        <v>2722</v>
      </c>
      <c r="H497" t="s">
        <v>3872</v>
      </c>
      <c r="I497" t="s">
        <v>3067</v>
      </c>
      <c r="J497">
        <v>2502.3200000000002</v>
      </c>
      <c r="K497">
        <v>2035.29</v>
      </c>
      <c r="L497">
        <v>2340.58</v>
      </c>
      <c r="M497" t="s">
        <v>3063</v>
      </c>
      <c r="N497" t="s">
        <v>19</v>
      </c>
      <c r="O497" t="s">
        <v>19</v>
      </c>
      <c r="P497" t="s">
        <v>3064</v>
      </c>
      <c r="Q497">
        <v>0</v>
      </c>
      <c r="R497" t="s">
        <v>3876</v>
      </c>
    </row>
    <row r="498" spans="1:18" x14ac:dyDescent="0.2">
      <c r="A498" t="s">
        <v>3070</v>
      </c>
      <c r="B498" t="s">
        <v>2007</v>
      </c>
      <c r="C498" t="s">
        <v>2008</v>
      </c>
      <c r="D498" t="s">
        <v>2008</v>
      </c>
      <c r="E498" t="s">
        <v>3071</v>
      </c>
      <c r="F498" t="s">
        <v>2711</v>
      </c>
      <c r="G498" t="s">
        <v>2722</v>
      </c>
      <c r="H498" t="s">
        <v>3872</v>
      </c>
      <c r="I498" t="s">
        <v>3072</v>
      </c>
      <c r="J498">
        <v>6972.39</v>
      </c>
      <c r="K498">
        <v>2502.3200000000002</v>
      </c>
      <c r="L498">
        <v>2877.67</v>
      </c>
      <c r="M498" t="s">
        <v>3068</v>
      </c>
      <c r="N498" t="s">
        <v>19</v>
      </c>
      <c r="O498" t="s">
        <v>19</v>
      </c>
      <c r="P498" t="s">
        <v>3069</v>
      </c>
      <c r="Q498">
        <v>0</v>
      </c>
      <c r="R498" t="s">
        <v>3876</v>
      </c>
    </row>
    <row r="499" spans="1:18" x14ac:dyDescent="0.2">
      <c r="A499" t="s">
        <v>3075</v>
      </c>
      <c r="B499" t="s">
        <v>1300</v>
      </c>
      <c r="C499" t="s">
        <v>2270</v>
      </c>
      <c r="D499" t="s">
        <v>2270</v>
      </c>
      <c r="E499" t="s">
        <v>3076</v>
      </c>
      <c r="F499" t="s">
        <v>2711</v>
      </c>
      <c r="G499" t="s">
        <v>2722</v>
      </c>
      <c r="H499" t="s">
        <v>3872</v>
      </c>
      <c r="I499" t="s">
        <v>3077</v>
      </c>
      <c r="J499">
        <v>8940.14</v>
      </c>
      <c r="K499">
        <v>6972.39</v>
      </c>
      <c r="L499">
        <v>8018.26</v>
      </c>
      <c r="M499" t="s">
        <v>3073</v>
      </c>
      <c r="N499" t="s">
        <v>19</v>
      </c>
      <c r="O499" t="s">
        <v>19</v>
      </c>
      <c r="P499" t="s">
        <v>3074</v>
      </c>
      <c r="Q499">
        <v>0</v>
      </c>
      <c r="R499" t="s">
        <v>3876</v>
      </c>
    </row>
    <row r="500" spans="1:18" x14ac:dyDescent="0.2">
      <c r="A500" t="s">
        <v>3080</v>
      </c>
      <c r="B500" t="s">
        <v>3081</v>
      </c>
      <c r="C500" t="s">
        <v>3082</v>
      </c>
      <c r="D500" t="s">
        <v>3083</v>
      </c>
      <c r="E500" t="s">
        <v>3084</v>
      </c>
      <c r="F500" t="s">
        <v>2711</v>
      </c>
      <c r="G500" t="s">
        <v>2722</v>
      </c>
      <c r="H500" t="s">
        <v>3872</v>
      </c>
      <c r="I500" t="s">
        <v>3085</v>
      </c>
      <c r="J500">
        <v>10009.280000000001</v>
      </c>
      <c r="K500">
        <v>8940.14</v>
      </c>
      <c r="L500">
        <v>10281.17</v>
      </c>
      <c r="M500" t="s">
        <v>3078</v>
      </c>
      <c r="N500" t="s">
        <v>19</v>
      </c>
      <c r="O500" t="s">
        <v>19</v>
      </c>
      <c r="P500" t="s">
        <v>3079</v>
      </c>
      <c r="Q500">
        <v>0</v>
      </c>
      <c r="R500" t="s">
        <v>3876</v>
      </c>
    </row>
    <row r="501" spans="1:18" x14ac:dyDescent="0.2">
      <c r="A501" t="s">
        <v>3088</v>
      </c>
      <c r="B501" t="s">
        <v>1879</v>
      </c>
      <c r="C501" t="s">
        <v>1853</v>
      </c>
      <c r="D501" t="s">
        <v>1880</v>
      </c>
      <c r="E501" t="s">
        <v>3089</v>
      </c>
      <c r="F501" t="s">
        <v>2515</v>
      </c>
      <c r="G501" t="s">
        <v>3038</v>
      </c>
      <c r="H501" t="s">
        <v>3872</v>
      </c>
      <c r="I501" t="s">
        <v>1883</v>
      </c>
      <c r="J501">
        <v>88796.85</v>
      </c>
      <c r="K501">
        <v>10009.280000000001</v>
      </c>
      <c r="L501">
        <v>11510.67</v>
      </c>
      <c r="M501" t="s">
        <v>3086</v>
      </c>
      <c r="N501" t="s">
        <v>19</v>
      </c>
      <c r="O501" t="s">
        <v>19</v>
      </c>
      <c r="P501" t="s">
        <v>3087</v>
      </c>
      <c r="Q501">
        <v>7</v>
      </c>
      <c r="R501" t="s">
        <v>3878</v>
      </c>
    </row>
    <row r="502" spans="1:18" x14ac:dyDescent="0.2">
      <c r="A502" t="s">
        <v>3092</v>
      </c>
      <c r="B502" t="s">
        <v>3093</v>
      </c>
      <c r="C502" t="s">
        <v>113</v>
      </c>
      <c r="D502" t="s">
        <v>3094</v>
      </c>
      <c r="E502" t="s">
        <v>1046</v>
      </c>
      <c r="F502" t="s">
        <v>2515</v>
      </c>
      <c r="G502" t="s">
        <v>3038</v>
      </c>
      <c r="H502" s="2" t="s">
        <v>3871</v>
      </c>
      <c r="I502" t="s">
        <v>3095</v>
      </c>
      <c r="J502">
        <v>5875.17</v>
      </c>
      <c r="K502">
        <v>88796.85</v>
      </c>
      <c r="L502">
        <v>102116.38</v>
      </c>
      <c r="M502" t="s">
        <v>3090</v>
      </c>
      <c r="N502" t="s">
        <v>19</v>
      </c>
      <c r="O502" t="s">
        <v>19</v>
      </c>
      <c r="P502" t="s">
        <v>3091</v>
      </c>
      <c r="Q502">
        <v>1</v>
      </c>
      <c r="R502" t="s">
        <v>3876</v>
      </c>
    </row>
    <row r="503" spans="1:18" x14ac:dyDescent="0.2">
      <c r="A503" t="s">
        <v>3098</v>
      </c>
      <c r="B503" t="s">
        <v>3099</v>
      </c>
      <c r="C503" t="s">
        <v>121</v>
      </c>
      <c r="D503" t="s">
        <v>3100</v>
      </c>
      <c r="E503" t="s">
        <v>3101</v>
      </c>
      <c r="F503" t="s">
        <v>2592</v>
      </c>
      <c r="G503" t="s">
        <v>2920</v>
      </c>
      <c r="H503" s="2" t="s">
        <v>3871</v>
      </c>
      <c r="I503" t="s">
        <v>3102</v>
      </c>
      <c r="J503">
        <v>175047.27</v>
      </c>
      <c r="K503">
        <v>5875.17</v>
      </c>
      <c r="L503">
        <v>6756.44</v>
      </c>
      <c r="M503" t="s">
        <v>3096</v>
      </c>
      <c r="N503" t="s">
        <v>19</v>
      </c>
      <c r="O503" t="s">
        <v>19</v>
      </c>
      <c r="P503" t="s">
        <v>3097</v>
      </c>
      <c r="Q503">
        <v>100</v>
      </c>
      <c r="R503" t="s">
        <v>3878</v>
      </c>
    </row>
    <row r="504" spans="1:18" x14ac:dyDescent="0.2">
      <c r="A504" t="s">
        <v>3105</v>
      </c>
      <c r="B504" t="s">
        <v>3106</v>
      </c>
      <c r="C504" t="s">
        <v>1853</v>
      </c>
      <c r="D504" t="s">
        <v>3107</v>
      </c>
      <c r="E504" t="s">
        <v>3108</v>
      </c>
      <c r="F504" t="s">
        <v>2711</v>
      </c>
      <c r="G504" t="s">
        <v>2722</v>
      </c>
      <c r="H504" t="s">
        <v>3872</v>
      </c>
      <c r="I504" t="s">
        <v>3109</v>
      </c>
      <c r="J504">
        <v>13131.4</v>
      </c>
      <c r="K504">
        <v>175047.27</v>
      </c>
      <c r="L504">
        <v>201304.36</v>
      </c>
      <c r="M504" t="s">
        <v>3103</v>
      </c>
      <c r="N504" t="s">
        <v>19</v>
      </c>
      <c r="O504" t="s">
        <v>19</v>
      </c>
      <c r="P504" t="s">
        <v>3104</v>
      </c>
      <c r="Q504">
        <v>4</v>
      </c>
      <c r="R504" t="s">
        <v>3876</v>
      </c>
    </row>
    <row r="505" spans="1:18" x14ac:dyDescent="0.2">
      <c r="A505" t="s">
        <v>3112</v>
      </c>
      <c r="B505" t="s">
        <v>843</v>
      </c>
      <c r="C505" t="s">
        <v>845</v>
      </c>
      <c r="D505" t="s">
        <v>168</v>
      </c>
      <c r="E505" t="s">
        <v>3113</v>
      </c>
      <c r="F505" t="s">
        <v>3114</v>
      </c>
      <c r="G505" t="s">
        <v>3115</v>
      </c>
      <c r="H505" t="s">
        <v>3872</v>
      </c>
      <c r="I505" t="s">
        <v>2489</v>
      </c>
      <c r="J505">
        <v>931.07</v>
      </c>
      <c r="K505">
        <v>13131.4</v>
      </c>
      <c r="L505">
        <v>15101.11</v>
      </c>
      <c r="M505" t="s">
        <v>3110</v>
      </c>
      <c r="N505" t="s">
        <v>19</v>
      </c>
      <c r="O505" t="s">
        <v>19</v>
      </c>
      <c r="P505" t="s">
        <v>3111</v>
      </c>
      <c r="Q505">
        <v>0</v>
      </c>
      <c r="R505" t="s">
        <v>3878</v>
      </c>
    </row>
    <row r="506" spans="1:18" x14ac:dyDescent="0.2">
      <c r="A506" t="s">
        <v>3118</v>
      </c>
      <c r="B506" t="s">
        <v>850</v>
      </c>
      <c r="C506" t="s">
        <v>14</v>
      </c>
      <c r="D506" t="s">
        <v>14</v>
      </c>
      <c r="E506" t="s">
        <v>3119</v>
      </c>
      <c r="F506" t="s">
        <v>2919</v>
      </c>
      <c r="G506" t="s">
        <v>3120</v>
      </c>
      <c r="H506" t="s">
        <v>3872</v>
      </c>
      <c r="I506" t="s">
        <v>3121</v>
      </c>
      <c r="J506">
        <v>1982.09</v>
      </c>
      <c r="K506">
        <v>931.07</v>
      </c>
      <c r="L506">
        <v>1070.73</v>
      </c>
      <c r="M506" t="s">
        <v>3116</v>
      </c>
      <c r="N506" t="s">
        <v>19</v>
      </c>
      <c r="O506" t="s">
        <v>19</v>
      </c>
      <c r="P506" t="s">
        <v>3117</v>
      </c>
      <c r="Q506">
        <v>1</v>
      </c>
      <c r="R506" t="s">
        <v>3876</v>
      </c>
    </row>
    <row r="507" spans="1:18" x14ac:dyDescent="0.2">
      <c r="A507" t="s">
        <v>3124</v>
      </c>
      <c r="B507" t="s">
        <v>49</v>
      </c>
      <c r="C507" t="s">
        <v>51</v>
      </c>
      <c r="D507" t="s">
        <v>51</v>
      </c>
      <c r="E507" t="s">
        <v>3125</v>
      </c>
      <c r="F507" t="s">
        <v>2711</v>
      </c>
      <c r="G507" t="s">
        <v>2722</v>
      </c>
      <c r="H507" t="s">
        <v>3872</v>
      </c>
      <c r="I507" t="s">
        <v>3126</v>
      </c>
      <c r="J507">
        <v>1982.09</v>
      </c>
      <c r="K507">
        <v>1982.09</v>
      </c>
      <c r="L507">
        <v>2279.4</v>
      </c>
      <c r="M507" t="s">
        <v>3122</v>
      </c>
      <c r="N507" t="s">
        <v>19</v>
      </c>
      <c r="O507" t="s">
        <v>19</v>
      </c>
      <c r="P507" t="s">
        <v>3123</v>
      </c>
      <c r="Q507">
        <v>1</v>
      </c>
      <c r="R507" t="s">
        <v>3878</v>
      </c>
    </row>
    <row r="508" spans="1:18" x14ac:dyDescent="0.2">
      <c r="A508" t="s">
        <v>3129</v>
      </c>
      <c r="B508" t="s">
        <v>2015</v>
      </c>
      <c r="C508" t="s">
        <v>113</v>
      </c>
      <c r="D508" t="s">
        <v>3130</v>
      </c>
      <c r="E508" t="s">
        <v>3131</v>
      </c>
      <c r="F508" t="s">
        <v>2919</v>
      </c>
      <c r="G508" t="s">
        <v>3120</v>
      </c>
      <c r="H508" t="s">
        <v>3872</v>
      </c>
      <c r="I508" t="s">
        <v>3132</v>
      </c>
      <c r="J508">
        <v>6654.29</v>
      </c>
      <c r="K508">
        <v>1982.09</v>
      </c>
      <c r="L508">
        <v>2279.4</v>
      </c>
      <c r="M508" t="s">
        <v>3127</v>
      </c>
      <c r="N508" t="s">
        <v>19</v>
      </c>
      <c r="O508" t="s">
        <v>772</v>
      </c>
      <c r="P508" t="s">
        <v>3128</v>
      </c>
      <c r="Q508">
        <v>1</v>
      </c>
      <c r="R508" t="s">
        <v>3876</v>
      </c>
    </row>
    <row r="509" spans="1:18" x14ac:dyDescent="0.2">
      <c r="A509" t="s">
        <v>3135</v>
      </c>
      <c r="B509" t="s">
        <v>330</v>
      </c>
      <c r="C509" t="s">
        <v>467</v>
      </c>
      <c r="D509" t="s">
        <v>467</v>
      </c>
      <c r="E509" t="s">
        <v>3136</v>
      </c>
      <c r="F509" t="s">
        <v>2919</v>
      </c>
      <c r="G509" t="s">
        <v>3120</v>
      </c>
      <c r="H509" t="s">
        <v>3872</v>
      </c>
      <c r="I509" t="s">
        <v>3137</v>
      </c>
      <c r="J509">
        <v>5945.87</v>
      </c>
      <c r="K509">
        <v>6654.29</v>
      </c>
      <c r="L509">
        <v>7652.43</v>
      </c>
      <c r="M509" t="s">
        <v>3133</v>
      </c>
      <c r="N509" t="s">
        <v>19</v>
      </c>
      <c r="O509" t="s">
        <v>772</v>
      </c>
      <c r="P509" t="s">
        <v>3134</v>
      </c>
      <c r="Q509">
        <v>3</v>
      </c>
      <c r="R509" t="s">
        <v>3876</v>
      </c>
    </row>
    <row r="510" spans="1:18" x14ac:dyDescent="0.2">
      <c r="A510" t="s">
        <v>3140</v>
      </c>
      <c r="B510" t="s">
        <v>1314</v>
      </c>
      <c r="C510" t="s">
        <v>385</v>
      </c>
      <c r="D510" t="s">
        <v>385</v>
      </c>
      <c r="E510" t="s">
        <v>3141</v>
      </c>
      <c r="F510" t="s">
        <v>2919</v>
      </c>
      <c r="G510" t="s">
        <v>3120</v>
      </c>
      <c r="H510" t="s">
        <v>3872</v>
      </c>
      <c r="I510" t="s">
        <v>3142</v>
      </c>
      <c r="J510">
        <v>20952.91</v>
      </c>
      <c r="K510">
        <v>5945.87</v>
      </c>
      <c r="L510">
        <v>6837.75</v>
      </c>
      <c r="M510" t="s">
        <v>3138</v>
      </c>
      <c r="N510" t="s">
        <v>19</v>
      </c>
      <c r="O510" t="s">
        <v>19</v>
      </c>
      <c r="P510" t="s">
        <v>3139</v>
      </c>
      <c r="Q510">
        <v>3</v>
      </c>
      <c r="R510" t="s">
        <v>3878</v>
      </c>
    </row>
    <row r="511" spans="1:18" x14ac:dyDescent="0.2">
      <c r="A511" t="s">
        <v>3145</v>
      </c>
      <c r="B511" t="s">
        <v>3146</v>
      </c>
      <c r="C511" t="s">
        <v>113</v>
      </c>
      <c r="D511" t="s">
        <v>3147</v>
      </c>
      <c r="E511" t="s">
        <v>1046</v>
      </c>
      <c r="F511" t="s">
        <v>2919</v>
      </c>
      <c r="G511" t="s">
        <v>3120</v>
      </c>
      <c r="H511" s="2" t="s">
        <v>3871</v>
      </c>
      <c r="I511" t="s">
        <v>3148</v>
      </c>
      <c r="J511">
        <v>5875.17</v>
      </c>
      <c r="K511">
        <v>20952.91</v>
      </c>
      <c r="L511">
        <v>24095.84</v>
      </c>
      <c r="M511" t="s">
        <v>3143</v>
      </c>
      <c r="N511" t="s">
        <v>19</v>
      </c>
      <c r="O511" t="s">
        <v>19</v>
      </c>
      <c r="P511" t="s">
        <v>3144</v>
      </c>
      <c r="Q511">
        <v>1</v>
      </c>
      <c r="R511" t="s">
        <v>3876</v>
      </c>
    </row>
    <row r="512" spans="1:18" x14ac:dyDescent="0.2">
      <c r="A512" t="s">
        <v>3151</v>
      </c>
      <c r="B512" t="s">
        <v>3152</v>
      </c>
      <c r="C512" t="s">
        <v>1853</v>
      </c>
      <c r="D512" t="s">
        <v>3153</v>
      </c>
      <c r="E512" t="s">
        <v>1046</v>
      </c>
      <c r="F512" t="s">
        <v>2919</v>
      </c>
      <c r="G512" t="s">
        <v>3120</v>
      </c>
      <c r="H512" s="2" t="s">
        <v>3871</v>
      </c>
      <c r="I512" t="s">
        <v>3154</v>
      </c>
      <c r="J512">
        <v>5875.17</v>
      </c>
      <c r="K512">
        <v>5875.17</v>
      </c>
      <c r="L512">
        <v>6756.44</v>
      </c>
      <c r="M512" t="s">
        <v>3149</v>
      </c>
      <c r="N512" t="s">
        <v>19</v>
      </c>
      <c r="O512" t="s">
        <v>19</v>
      </c>
      <c r="P512" t="s">
        <v>3150</v>
      </c>
      <c r="Q512">
        <v>1</v>
      </c>
      <c r="R512" t="s">
        <v>3876</v>
      </c>
    </row>
    <row r="513" spans="1:18" x14ac:dyDescent="0.2">
      <c r="A513" t="s">
        <v>3157</v>
      </c>
      <c r="B513" t="s">
        <v>426</v>
      </c>
      <c r="C513" t="s">
        <v>14</v>
      </c>
      <c r="D513" t="s">
        <v>427</v>
      </c>
      <c r="E513" t="s">
        <v>3158</v>
      </c>
      <c r="F513" t="s">
        <v>3159</v>
      </c>
      <c r="G513" t="s">
        <v>3160</v>
      </c>
      <c r="H513" t="s">
        <v>3872</v>
      </c>
      <c r="I513" t="s">
        <v>3161</v>
      </c>
      <c r="J513">
        <v>7453.44</v>
      </c>
      <c r="K513">
        <v>5875.17</v>
      </c>
      <c r="L513">
        <v>6756.44</v>
      </c>
      <c r="M513" t="s">
        <v>3155</v>
      </c>
      <c r="N513" t="s">
        <v>19</v>
      </c>
      <c r="O513" t="s">
        <v>19</v>
      </c>
      <c r="P513" t="s">
        <v>3156</v>
      </c>
      <c r="Q513">
        <v>1</v>
      </c>
      <c r="R513" t="s">
        <v>3879</v>
      </c>
    </row>
    <row r="514" spans="1:18" x14ac:dyDescent="0.2">
      <c r="A514" t="s">
        <v>3164</v>
      </c>
      <c r="B514" t="s">
        <v>426</v>
      </c>
      <c r="C514" t="s">
        <v>14</v>
      </c>
      <c r="D514" t="s">
        <v>427</v>
      </c>
      <c r="E514" t="s">
        <v>3165</v>
      </c>
      <c r="F514" t="s">
        <v>3159</v>
      </c>
      <c r="G514" t="s">
        <v>3160</v>
      </c>
      <c r="H514" t="s">
        <v>3872</v>
      </c>
      <c r="I514" t="s">
        <v>3161</v>
      </c>
      <c r="J514">
        <v>7915.44</v>
      </c>
      <c r="K514">
        <v>7453.44</v>
      </c>
      <c r="L514">
        <v>8571.4599999999991</v>
      </c>
      <c r="M514" t="s">
        <v>3162</v>
      </c>
      <c r="N514" t="s">
        <v>19</v>
      </c>
      <c r="O514" t="s">
        <v>19</v>
      </c>
      <c r="P514" t="s">
        <v>3163</v>
      </c>
      <c r="Q514">
        <v>1</v>
      </c>
      <c r="R514" t="s">
        <v>3877</v>
      </c>
    </row>
    <row r="515" spans="1:18" x14ac:dyDescent="0.2">
      <c r="A515" t="s">
        <v>3168</v>
      </c>
      <c r="B515" t="s">
        <v>821</v>
      </c>
      <c r="C515" t="s">
        <v>113</v>
      </c>
      <c r="D515" t="s">
        <v>823</v>
      </c>
      <c r="E515" t="s">
        <v>3169</v>
      </c>
      <c r="F515" t="s">
        <v>3159</v>
      </c>
      <c r="G515" t="s">
        <v>3159</v>
      </c>
      <c r="H515" s="2" t="s">
        <v>3871</v>
      </c>
      <c r="I515" t="s">
        <v>822</v>
      </c>
      <c r="J515">
        <v>14215.24</v>
      </c>
      <c r="K515">
        <v>7915.44</v>
      </c>
      <c r="L515">
        <v>9102.76</v>
      </c>
      <c r="M515" t="s">
        <v>3166</v>
      </c>
      <c r="N515" t="s">
        <v>19</v>
      </c>
      <c r="O515" t="s">
        <v>19</v>
      </c>
      <c r="P515" t="s">
        <v>3167</v>
      </c>
      <c r="Q515">
        <v>1</v>
      </c>
      <c r="R515" t="s">
        <v>3880</v>
      </c>
    </row>
    <row r="516" spans="1:18" x14ac:dyDescent="0.2">
      <c r="A516" t="s">
        <v>3172</v>
      </c>
      <c r="B516" t="s">
        <v>2628</v>
      </c>
      <c r="C516" t="s">
        <v>2629</v>
      </c>
      <c r="D516" t="s">
        <v>2630</v>
      </c>
      <c r="E516" t="s">
        <v>3173</v>
      </c>
      <c r="F516" t="s">
        <v>2908</v>
      </c>
      <c r="G516" t="s">
        <v>3174</v>
      </c>
      <c r="H516" t="s">
        <v>3872</v>
      </c>
      <c r="I516" t="s">
        <v>3175</v>
      </c>
      <c r="J516">
        <v>11898.21</v>
      </c>
      <c r="K516">
        <v>14215.24</v>
      </c>
      <c r="L516">
        <v>16347.53</v>
      </c>
      <c r="M516" t="s">
        <v>3170</v>
      </c>
      <c r="N516" t="s">
        <v>19</v>
      </c>
      <c r="O516" t="s">
        <v>19</v>
      </c>
      <c r="P516" t="s">
        <v>3171</v>
      </c>
      <c r="Q516">
        <v>3</v>
      </c>
      <c r="R516" t="s">
        <v>3876</v>
      </c>
    </row>
    <row r="517" spans="1:18" x14ac:dyDescent="0.2">
      <c r="A517" t="s">
        <v>3178</v>
      </c>
      <c r="B517" t="s">
        <v>1710</v>
      </c>
      <c r="C517" t="s">
        <v>759</v>
      </c>
      <c r="D517" t="s">
        <v>160</v>
      </c>
      <c r="E517" t="s">
        <v>1473</v>
      </c>
      <c r="F517" t="s">
        <v>3159</v>
      </c>
      <c r="G517" t="s">
        <v>3160</v>
      </c>
      <c r="H517" s="2" t="s">
        <v>3871</v>
      </c>
      <c r="I517" t="s">
        <v>3039</v>
      </c>
      <c r="J517">
        <v>8868</v>
      </c>
      <c r="K517">
        <v>11898.21</v>
      </c>
      <c r="L517">
        <v>13682.95</v>
      </c>
      <c r="M517" t="s">
        <v>3176</v>
      </c>
      <c r="N517" t="s">
        <v>19</v>
      </c>
      <c r="O517" t="s">
        <v>19</v>
      </c>
      <c r="P517" t="s">
        <v>3177</v>
      </c>
      <c r="Q517">
        <v>0</v>
      </c>
      <c r="R517" t="s">
        <v>3878</v>
      </c>
    </row>
    <row r="518" spans="1:18" x14ac:dyDescent="0.2">
      <c r="A518" t="s">
        <v>3181</v>
      </c>
      <c r="B518" t="s">
        <v>1314</v>
      </c>
      <c r="C518" t="s">
        <v>3182</v>
      </c>
      <c r="D518" t="s">
        <v>3182</v>
      </c>
      <c r="E518" t="s">
        <v>3183</v>
      </c>
      <c r="F518" t="s">
        <v>2692</v>
      </c>
      <c r="G518" t="s">
        <v>2722</v>
      </c>
      <c r="H518" t="s">
        <v>3872</v>
      </c>
      <c r="I518" t="s">
        <v>3184</v>
      </c>
      <c r="J518">
        <v>2035.29</v>
      </c>
      <c r="K518">
        <v>8868</v>
      </c>
      <c r="L518">
        <v>10198.200000000001</v>
      </c>
      <c r="M518" t="s">
        <v>3179</v>
      </c>
      <c r="N518" t="s">
        <v>19</v>
      </c>
      <c r="O518" t="s">
        <v>19</v>
      </c>
      <c r="P518" t="s">
        <v>3180</v>
      </c>
      <c r="Q518">
        <v>1</v>
      </c>
      <c r="R518" t="s">
        <v>3878</v>
      </c>
    </row>
    <row r="519" spans="1:18" x14ac:dyDescent="0.2">
      <c r="A519" t="s">
        <v>3187</v>
      </c>
      <c r="B519" t="s">
        <v>440</v>
      </c>
      <c r="C519" t="s">
        <v>113</v>
      </c>
      <c r="D519" t="s">
        <v>3188</v>
      </c>
      <c r="E519" t="s">
        <v>3189</v>
      </c>
      <c r="F519" t="s">
        <v>2692</v>
      </c>
      <c r="G519" t="s">
        <v>2722</v>
      </c>
      <c r="H519" t="s">
        <v>3872</v>
      </c>
      <c r="I519" t="s">
        <v>3190</v>
      </c>
      <c r="J519">
        <v>8299.8799999999992</v>
      </c>
      <c r="K519">
        <v>2035.29</v>
      </c>
      <c r="L519">
        <v>2340.58</v>
      </c>
      <c r="M519" t="s">
        <v>3185</v>
      </c>
      <c r="N519" t="s">
        <v>19</v>
      </c>
      <c r="O519" t="s">
        <v>19</v>
      </c>
      <c r="P519" t="s">
        <v>3186</v>
      </c>
      <c r="Q519">
        <v>2</v>
      </c>
      <c r="R519" t="s">
        <v>3878</v>
      </c>
    </row>
    <row r="520" spans="1:18" x14ac:dyDescent="0.2">
      <c r="A520" t="s">
        <v>3193</v>
      </c>
      <c r="B520" t="s">
        <v>1314</v>
      </c>
      <c r="C520" t="s">
        <v>1950</v>
      </c>
      <c r="D520" t="s">
        <v>1950</v>
      </c>
      <c r="E520" t="s">
        <v>3194</v>
      </c>
      <c r="F520" t="s">
        <v>2692</v>
      </c>
      <c r="G520" t="s">
        <v>2722</v>
      </c>
      <c r="H520" t="s">
        <v>3872</v>
      </c>
      <c r="I520" t="s">
        <v>3195</v>
      </c>
      <c r="J520">
        <v>2035.29</v>
      </c>
      <c r="K520">
        <v>8299.8799999999992</v>
      </c>
      <c r="L520">
        <v>9544.86</v>
      </c>
      <c r="M520" t="s">
        <v>3191</v>
      </c>
      <c r="N520" t="s">
        <v>19</v>
      </c>
      <c r="O520" t="s">
        <v>19</v>
      </c>
      <c r="P520" t="s">
        <v>3192</v>
      </c>
      <c r="Q520">
        <v>1</v>
      </c>
      <c r="R520" t="s">
        <v>3878</v>
      </c>
    </row>
    <row r="521" spans="1:18" x14ac:dyDescent="0.2">
      <c r="A521" t="s">
        <v>3198</v>
      </c>
      <c r="B521" t="s">
        <v>3199</v>
      </c>
      <c r="C521" t="s">
        <v>725</v>
      </c>
      <c r="D521" t="s">
        <v>3200</v>
      </c>
      <c r="E521" t="s">
        <v>3201</v>
      </c>
      <c r="F521" t="s">
        <v>3202</v>
      </c>
      <c r="G521" t="s">
        <v>3203</v>
      </c>
      <c r="H521" t="s">
        <v>3872</v>
      </c>
      <c r="I521" t="s">
        <v>3204</v>
      </c>
      <c r="J521">
        <v>4531.1499999999996</v>
      </c>
      <c r="K521">
        <v>2035.29</v>
      </c>
      <c r="L521">
        <v>2340.58</v>
      </c>
      <c r="M521" t="s">
        <v>3196</v>
      </c>
      <c r="N521" t="s">
        <v>19</v>
      </c>
      <c r="O521" t="s">
        <v>19</v>
      </c>
      <c r="P521" t="s">
        <v>3197</v>
      </c>
      <c r="Q521">
        <v>1</v>
      </c>
      <c r="R521" t="s">
        <v>3878</v>
      </c>
    </row>
    <row r="522" spans="1:18" x14ac:dyDescent="0.2">
      <c r="A522" t="s">
        <v>3207</v>
      </c>
      <c r="B522" t="s">
        <v>311</v>
      </c>
      <c r="C522" t="s">
        <v>313</v>
      </c>
      <c r="D522" t="s">
        <v>313</v>
      </c>
      <c r="E522" t="s">
        <v>3208</v>
      </c>
      <c r="F522" t="s">
        <v>2711</v>
      </c>
      <c r="G522" t="s">
        <v>3209</v>
      </c>
      <c r="H522" t="s">
        <v>3872</v>
      </c>
      <c r="I522" t="s">
        <v>3210</v>
      </c>
      <c r="J522">
        <v>1982.09</v>
      </c>
      <c r="K522">
        <v>4531.1499999999996</v>
      </c>
      <c r="L522">
        <v>5210.83</v>
      </c>
      <c r="M522" t="s">
        <v>3205</v>
      </c>
      <c r="N522" t="s">
        <v>19</v>
      </c>
      <c r="O522" t="s">
        <v>19</v>
      </c>
      <c r="P522" t="s">
        <v>3206</v>
      </c>
      <c r="Q522">
        <v>1</v>
      </c>
      <c r="R522" t="s">
        <v>3878</v>
      </c>
    </row>
    <row r="523" spans="1:18" x14ac:dyDescent="0.2">
      <c r="A523" t="s">
        <v>3213</v>
      </c>
      <c r="B523" t="s">
        <v>1572</v>
      </c>
      <c r="C523" t="s">
        <v>1573</v>
      </c>
      <c r="D523" t="s">
        <v>1573</v>
      </c>
      <c r="E523" t="s">
        <v>3214</v>
      </c>
      <c r="F523" t="s">
        <v>2711</v>
      </c>
      <c r="G523" t="s">
        <v>3209</v>
      </c>
      <c r="H523" t="s">
        <v>3872</v>
      </c>
      <c r="I523" t="s">
        <v>3215</v>
      </c>
      <c r="J523">
        <v>7177.86</v>
      </c>
      <c r="K523">
        <v>1982.09</v>
      </c>
      <c r="L523">
        <v>2279.4</v>
      </c>
      <c r="M523" t="s">
        <v>3211</v>
      </c>
      <c r="N523" t="s">
        <v>19</v>
      </c>
      <c r="O523" t="s">
        <v>772</v>
      </c>
      <c r="P523" t="s">
        <v>3212</v>
      </c>
      <c r="Q523">
        <v>2</v>
      </c>
      <c r="R523" t="s">
        <v>3878</v>
      </c>
    </row>
    <row r="524" spans="1:18" x14ac:dyDescent="0.2">
      <c r="A524" t="s">
        <v>3218</v>
      </c>
      <c r="B524" t="s">
        <v>3219</v>
      </c>
      <c r="C524" t="s">
        <v>3220</v>
      </c>
      <c r="D524" t="s">
        <v>3220</v>
      </c>
      <c r="E524" t="s">
        <v>3221</v>
      </c>
      <c r="F524" t="s">
        <v>2711</v>
      </c>
      <c r="G524" t="s">
        <v>3209</v>
      </c>
      <c r="H524" t="s">
        <v>3872</v>
      </c>
      <c r="I524" t="s">
        <v>3222</v>
      </c>
      <c r="J524">
        <v>21541.33</v>
      </c>
      <c r="K524">
        <v>7177.86</v>
      </c>
      <c r="L524">
        <v>8254.5400000000009</v>
      </c>
      <c r="M524" t="s">
        <v>3216</v>
      </c>
      <c r="N524" t="s">
        <v>19</v>
      </c>
      <c r="O524" t="s">
        <v>19</v>
      </c>
      <c r="P524" t="s">
        <v>3217</v>
      </c>
      <c r="Q524">
        <v>1</v>
      </c>
      <c r="R524" t="s">
        <v>3876</v>
      </c>
    </row>
    <row r="525" spans="1:18" x14ac:dyDescent="0.2">
      <c r="A525" t="s">
        <v>3225</v>
      </c>
      <c r="B525" t="s">
        <v>3093</v>
      </c>
      <c r="C525" t="s">
        <v>121</v>
      </c>
      <c r="D525" t="s">
        <v>3226</v>
      </c>
      <c r="E525" t="s">
        <v>3227</v>
      </c>
      <c r="F525" t="s">
        <v>3228</v>
      </c>
      <c r="G525" t="s">
        <v>3115</v>
      </c>
      <c r="H525" s="2" t="s">
        <v>3871</v>
      </c>
      <c r="I525" t="s">
        <v>3229</v>
      </c>
      <c r="J525">
        <v>3224.69</v>
      </c>
      <c r="K525">
        <v>21541.33</v>
      </c>
      <c r="L525">
        <v>24772.53</v>
      </c>
      <c r="M525" t="s">
        <v>3223</v>
      </c>
      <c r="N525" t="s">
        <v>19</v>
      </c>
      <c r="O525" t="s">
        <v>772</v>
      </c>
      <c r="P525" t="s">
        <v>3224</v>
      </c>
      <c r="Q525">
        <v>1</v>
      </c>
      <c r="R525" t="s">
        <v>3878</v>
      </c>
    </row>
    <row r="526" spans="1:18" x14ac:dyDescent="0.2">
      <c r="A526" t="s">
        <v>3232</v>
      </c>
      <c r="B526" t="s">
        <v>3233</v>
      </c>
      <c r="C526" t="s">
        <v>3235</v>
      </c>
      <c r="D526" t="s">
        <v>3235</v>
      </c>
      <c r="E526" t="s">
        <v>3236</v>
      </c>
      <c r="F526" t="s">
        <v>2704</v>
      </c>
      <c r="G526" t="s">
        <v>3237</v>
      </c>
      <c r="H526" t="s">
        <v>3872</v>
      </c>
      <c r="I526" t="s">
        <v>3234</v>
      </c>
      <c r="J526">
        <v>8522.9699999999993</v>
      </c>
      <c r="K526">
        <v>3224.69</v>
      </c>
      <c r="L526">
        <v>3708.39</v>
      </c>
      <c r="M526" t="s">
        <v>3230</v>
      </c>
      <c r="N526" t="s">
        <v>19</v>
      </c>
      <c r="O526" t="s">
        <v>19</v>
      </c>
      <c r="P526" t="s">
        <v>3231</v>
      </c>
      <c r="Q526">
        <v>1</v>
      </c>
      <c r="R526" t="s">
        <v>3878</v>
      </c>
    </row>
    <row r="527" spans="1:18" x14ac:dyDescent="0.2">
      <c r="A527" t="s">
        <v>3240</v>
      </c>
      <c r="B527" t="s">
        <v>3241</v>
      </c>
      <c r="C527" t="s">
        <v>3242</v>
      </c>
      <c r="D527" t="s">
        <v>3242</v>
      </c>
      <c r="E527" t="s">
        <v>3243</v>
      </c>
      <c r="F527" t="s">
        <v>3114</v>
      </c>
      <c r="G527" t="s">
        <v>3115</v>
      </c>
      <c r="H527" t="s">
        <v>3872</v>
      </c>
      <c r="I527" t="s">
        <v>3244</v>
      </c>
      <c r="J527">
        <v>5759.04</v>
      </c>
      <c r="K527">
        <v>8522.9699999999993</v>
      </c>
      <c r="L527">
        <v>9801.41</v>
      </c>
      <c r="M527" t="s">
        <v>3238</v>
      </c>
      <c r="N527" t="s">
        <v>19</v>
      </c>
      <c r="O527" t="s">
        <v>15</v>
      </c>
      <c r="P527" t="s">
        <v>3239</v>
      </c>
      <c r="Q527">
        <v>1</v>
      </c>
      <c r="R527" t="s">
        <v>3876</v>
      </c>
    </row>
    <row r="528" spans="1:18" x14ac:dyDescent="0.2">
      <c r="A528" t="s">
        <v>3247</v>
      </c>
      <c r="B528" t="s">
        <v>3248</v>
      </c>
      <c r="C528" t="s">
        <v>3249</v>
      </c>
      <c r="D528" t="s">
        <v>3249</v>
      </c>
      <c r="E528" t="s">
        <v>3250</v>
      </c>
      <c r="F528" t="s">
        <v>3228</v>
      </c>
      <c r="G528" t="s">
        <v>3115</v>
      </c>
      <c r="H528" t="s">
        <v>3872</v>
      </c>
      <c r="I528" t="s">
        <v>3251</v>
      </c>
      <c r="J528">
        <v>8732.44</v>
      </c>
      <c r="K528">
        <v>5759.04</v>
      </c>
      <c r="L528">
        <v>6622.9</v>
      </c>
      <c r="M528" t="s">
        <v>3245</v>
      </c>
      <c r="N528" t="s">
        <v>19</v>
      </c>
      <c r="O528" t="s">
        <v>19</v>
      </c>
      <c r="P528" t="s">
        <v>3246</v>
      </c>
      <c r="Q528">
        <v>1</v>
      </c>
      <c r="R528" t="s">
        <v>3876</v>
      </c>
    </row>
    <row r="529" spans="1:18" x14ac:dyDescent="0.2">
      <c r="A529" t="s">
        <v>3254</v>
      </c>
      <c r="B529" t="s">
        <v>3248</v>
      </c>
      <c r="C529" t="s">
        <v>3249</v>
      </c>
      <c r="D529" t="s">
        <v>3249</v>
      </c>
      <c r="E529" t="s">
        <v>3255</v>
      </c>
      <c r="F529" t="s">
        <v>3228</v>
      </c>
      <c r="G529" t="s">
        <v>3115</v>
      </c>
      <c r="H529" t="s">
        <v>3872</v>
      </c>
      <c r="I529" t="s">
        <v>3251</v>
      </c>
      <c r="J529">
        <v>11648.44</v>
      </c>
      <c r="K529">
        <v>8732.44</v>
      </c>
      <c r="L529">
        <v>10042.31</v>
      </c>
      <c r="M529" t="s">
        <v>3252</v>
      </c>
      <c r="N529" t="s">
        <v>19</v>
      </c>
      <c r="O529" t="s">
        <v>19</v>
      </c>
      <c r="P529" t="s">
        <v>3253</v>
      </c>
      <c r="Q529">
        <v>1</v>
      </c>
      <c r="R529" t="s">
        <v>3876</v>
      </c>
    </row>
    <row r="530" spans="1:18" x14ac:dyDescent="0.2">
      <c r="A530" t="s">
        <v>3258</v>
      </c>
      <c r="B530" t="s">
        <v>2681</v>
      </c>
      <c r="C530" t="s">
        <v>3259</v>
      </c>
      <c r="D530" t="s">
        <v>168</v>
      </c>
      <c r="E530" t="s">
        <v>3260</v>
      </c>
      <c r="F530" t="s">
        <v>3228</v>
      </c>
      <c r="G530" t="s">
        <v>3115</v>
      </c>
      <c r="H530" t="s">
        <v>3872</v>
      </c>
      <c r="I530" t="s">
        <v>3261</v>
      </c>
      <c r="J530">
        <v>22335.94</v>
      </c>
      <c r="K530">
        <v>11648.44</v>
      </c>
      <c r="L530">
        <v>13395.71</v>
      </c>
      <c r="M530" t="s">
        <v>3256</v>
      </c>
      <c r="N530" t="s">
        <v>19</v>
      </c>
      <c r="O530" t="s">
        <v>19</v>
      </c>
      <c r="P530" t="s">
        <v>3257</v>
      </c>
      <c r="Q530">
        <v>1</v>
      </c>
      <c r="R530" t="s">
        <v>3876</v>
      </c>
    </row>
    <row r="531" spans="1:18" x14ac:dyDescent="0.2">
      <c r="A531" t="s">
        <v>3264</v>
      </c>
      <c r="B531" t="s">
        <v>1943</v>
      </c>
      <c r="C531" t="s">
        <v>1944</v>
      </c>
      <c r="D531" t="s">
        <v>1944</v>
      </c>
      <c r="E531" t="s">
        <v>3265</v>
      </c>
      <c r="F531" t="s">
        <v>3160</v>
      </c>
      <c r="G531" t="s">
        <v>3266</v>
      </c>
      <c r="H531" t="s">
        <v>3872</v>
      </c>
      <c r="I531" t="s">
        <v>3267</v>
      </c>
      <c r="J531">
        <v>115702.87</v>
      </c>
      <c r="K531">
        <v>22335.94</v>
      </c>
      <c r="L531">
        <v>25686.33</v>
      </c>
      <c r="M531" t="s">
        <v>3262</v>
      </c>
      <c r="N531" t="s">
        <v>19</v>
      </c>
      <c r="O531" t="s">
        <v>19</v>
      </c>
      <c r="P531" t="s">
        <v>3263</v>
      </c>
      <c r="Q531">
        <v>21</v>
      </c>
      <c r="R531" t="s">
        <v>3876</v>
      </c>
    </row>
    <row r="532" spans="1:18" x14ac:dyDescent="0.2">
      <c r="A532" t="s">
        <v>3270</v>
      </c>
      <c r="B532" t="s">
        <v>2222</v>
      </c>
      <c r="C532" t="s">
        <v>2224</v>
      </c>
      <c r="D532" t="s">
        <v>2223</v>
      </c>
      <c r="E532" t="s">
        <v>3271</v>
      </c>
      <c r="F532" t="s">
        <v>3114</v>
      </c>
      <c r="G532" t="s">
        <v>3272</v>
      </c>
      <c r="H532" t="s">
        <v>3872</v>
      </c>
      <c r="I532" t="s">
        <v>3273</v>
      </c>
      <c r="J532">
        <v>2035.29</v>
      </c>
      <c r="K532">
        <v>115702.87</v>
      </c>
      <c r="L532">
        <v>133058.31</v>
      </c>
      <c r="M532" t="s">
        <v>3268</v>
      </c>
      <c r="N532" t="s">
        <v>19</v>
      </c>
      <c r="O532" t="s">
        <v>19</v>
      </c>
      <c r="P532" t="s">
        <v>3269</v>
      </c>
      <c r="Q532">
        <v>1</v>
      </c>
      <c r="R532" t="s">
        <v>3876</v>
      </c>
    </row>
    <row r="533" spans="1:18" x14ac:dyDescent="0.2">
      <c r="A533" t="s">
        <v>3276</v>
      </c>
      <c r="B533" t="s">
        <v>245</v>
      </c>
      <c r="C533" t="s">
        <v>3277</v>
      </c>
      <c r="D533" t="s">
        <v>168</v>
      </c>
      <c r="E533" t="s">
        <v>3278</v>
      </c>
      <c r="F533" t="s">
        <v>3114</v>
      </c>
      <c r="G533" t="s">
        <v>3272</v>
      </c>
      <c r="H533" t="s">
        <v>3872</v>
      </c>
      <c r="I533" t="s">
        <v>3279</v>
      </c>
      <c r="J533">
        <v>16506.43</v>
      </c>
      <c r="K533">
        <v>2035.29</v>
      </c>
      <c r="L533">
        <v>2340.58</v>
      </c>
      <c r="M533" t="s">
        <v>3274</v>
      </c>
      <c r="N533" t="s">
        <v>19</v>
      </c>
      <c r="O533" t="s">
        <v>19</v>
      </c>
      <c r="P533" t="s">
        <v>3275</v>
      </c>
      <c r="Q533">
        <v>1</v>
      </c>
      <c r="R533" t="s">
        <v>3876</v>
      </c>
    </row>
    <row r="534" spans="1:18" x14ac:dyDescent="0.2">
      <c r="A534" t="s">
        <v>3282</v>
      </c>
      <c r="B534" t="s">
        <v>1710</v>
      </c>
      <c r="C534" t="s">
        <v>3283</v>
      </c>
      <c r="D534" t="s">
        <v>3284</v>
      </c>
      <c r="E534" t="s">
        <v>3285</v>
      </c>
      <c r="F534" t="s">
        <v>3114</v>
      </c>
      <c r="G534" t="s">
        <v>3272</v>
      </c>
      <c r="H534" t="s">
        <v>3872</v>
      </c>
      <c r="I534" t="s">
        <v>3286</v>
      </c>
      <c r="J534">
        <v>17903.16</v>
      </c>
      <c r="K534">
        <v>16506.43</v>
      </c>
      <c r="L534">
        <v>18982.39</v>
      </c>
      <c r="M534" t="s">
        <v>3280</v>
      </c>
      <c r="N534" t="s">
        <v>19</v>
      </c>
      <c r="O534" t="s">
        <v>19</v>
      </c>
      <c r="P534" t="s">
        <v>3281</v>
      </c>
      <c r="Q534">
        <v>1</v>
      </c>
      <c r="R534" t="s">
        <v>3878</v>
      </c>
    </row>
    <row r="535" spans="1:18" x14ac:dyDescent="0.2">
      <c r="A535" t="s">
        <v>3289</v>
      </c>
      <c r="B535" t="s">
        <v>1015</v>
      </c>
      <c r="C535" t="s">
        <v>1015</v>
      </c>
      <c r="D535" t="s">
        <v>1015</v>
      </c>
      <c r="E535" t="s">
        <v>3290</v>
      </c>
      <c r="F535" t="s">
        <v>2782</v>
      </c>
      <c r="G535" t="s">
        <v>3291</v>
      </c>
      <c r="H535" t="s">
        <v>3872</v>
      </c>
      <c r="I535" t="s">
        <v>3292</v>
      </c>
      <c r="J535">
        <v>711924.32</v>
      </c>
      <c r="K535">
        <v>17903.16</v>
      </c>
      <c r="L535">
        <v>20588.64</v>
      </c>
      <c r="M535" t="s">
        <v>3287</v>
      </c>
      <c r="N535" t="s">
        <v>19</v>
      </c>
      <c r="O535" t="s">
        <v>18</v>
      </c>
      <c r="P535" t="s">
        <v>3288</v>
      </c>
      <c r="Q535">
        <v>166</v>
      </c>
      <c r="R535" t="s">
        <v>3880</v>
      </c>
    </row>
    <row r="536" spans="1:18" x14ac:dyDescent="0.2">
      <c r="A536" t="s">
        <v>3295</v>
      </c>
      <c r="B536" t="s">
        <v>850</v>
      </c>
      <c r="C536" t="s">
        <v>851</v>
      </c>
      <c r="D536" t="s">
        <v>852</v>
      </c>
      <c r="E536" t="s">
        <v>3296</v>
      </c>
      <c r="F536" t="s">
        <v>2782</v>
      </c>
      <c r="G536" t="s">
        <v>3291</v>
      </c>
      <c r="H536" t="s">
        <v>3872</v>
      </c>
      <c r="I536" t="s">
        <v>3297</v>
      </c>
      <c r="J536">
        <v>1982.09</v>
      </c>
      <c r="K536">
        <v>711924.32</v>
      </c>
      <c r="L536">
        <v>818712.97</v>
      </c>
      <c r="M536" t="s">
        <v>3293</v>
      </c>
      <c r="N536" t="s">
        <v>19</v>
      </c>
      <c r="O536" t="s">
        <v>2546</v>
      </c>
      <c r="P536" t="s">
        <v>3294</v>
      </c>
      <c r="Q536">
        <v>1</v>
      </c>
      <c r="R536" t="s">
        <v>3876</v>
      </c>
    </row>
    <row r="537" spans="1:18" x14ac:dyDescent="0.2">
      <c r="A537" t="s">
        <v>3300</v>
      </c>
      <c r="B537" t="s">
        <v>3301</v>
      </c>
      <c r="C537" t="s">
        <v>121</v>
      </c>
      <c r="D537" t="s">
        <v>168</v>
      </c>
      <c r="E537" t="s">
        <v>3302</v>
      </c>
      <c r="F537" t="s">
        <v>2782</v>
      </c>
      <c r="G537" t="s">
        <v>3291</v>
      </c>
      <c r="H537" t="s">
        <v>3872</v>
      </c>
      <c r="I537" t="s">
        <v>3303</v>
      </c>
      <c r="J537">
        <v>7184.04</v>
      </c>
      <c r="K537">
        <v>1982.09</v>
      </c>
      <c r="L537">
        <v>2279.4</v>
      </c>
      <c r="M537" t="s">
        <v>3298</v>
      </c>
      <c r="N537" t="s">
        <v>19</v>
      </c>
      <c r="O537" t="s">
        <v>19</v>
      </c>
      <c r="P537" t="s">
        <v>3299</v>
      </c>
      <c r="Q537">
        <v>1</v>
      </c>
      <c r="R537" t="s">
        <v>3876</v>
      </c>
    </row>
    <row r="538" spans="1:18" x14ac:dyDescent="0.2">
      <c r="A538" t="s">
        <v>3306</v>
      </c>
      <c r="B538" t="s">
        <v>2930</v>
      </c>
      <c r="C538" t="s">
        <v>2930</v>
      </c>
      <c r="D538" t="s">
        <v>2931</v>
      </c>
      <c r="E538" t="s">
        <v>3307</v>
      </c>
      <c r="F538" t="s">
        <v>2782</v>
      </c>
      <c r="G538" t="s">
        <v>3291</v>
      </c>
      <c r="H538" s="2" t="s">
        <v>3871</v>
      </c>
      <c r="I538" t="s">
        <v>3308</v>
      </c>
      <c r="J538">
        <v>4647.71</v>
      </c>
      <c r="K538">
        <v>7184.04</v>
      </c>
      <c r="L538">
        <v>8261.65</v>
      </c>
      <c r="M538" t="s">
        <v>3304</v>
      </c>
      <c r="N538" t="s">
        <v>19</v>
      </c>
      <c r="O538" t="s">
        <v>19</v>
      </c>
      <c r="P538" t="s">
        <v>3305</v>
      </c>
      <c r="Q538">
        <v>1</v>
      </c>
      <c r="R538" t="s">
        <v>3876</v>
      </c>
    </row>
    <row r="539" spans="1:18" x14ac:dyDescent="0.2">
      <c r="A539" t="s">
        <v>3311</v>
      </c>
      <c r="B539" t="s">
        <v>881</v>
      </c>
      <c r="C539" t="s">
        <v>14</v>
      </c>
      <c r="D539" t="s">
        <v>14</v>
      </c>
      <c r="E539" t="s">
        <v>3312</v>
      </c>
      <c r="F539" t="s">
        <v>2782</v>
      </c>
      <c r="G539" t="s">
        <v>3291</v>
      </c>
      <c r="H539" s="2" t="s">
        <v>3871</v>
      </c>
      <c r="I539" t="s">
        <v>3313</v>
      </c>
      <c r="J539">
        <v>931.07</v>
      </c>
      <c r="K539">
        <v>4647.71</v>
      </c>
      <c r="L539">
        <v>5344.87</v>
      </c>
      <c r="M539" t="s">
        <v>3309</v>
      </c>
      <c r="N539" t="s">
        <v>19</v>
      </c>
      <c r="O539" t="s">
        <v>19</v>
      </c>
      <c r="P539" t="s">
        <v>3310</v>
      </c>
      <c r="Q539">
        <v>0</v>
      </c>
      <c r="R539" t="s">
        <v>3876</v>
      </c>
    </row>
    <row r="540" spans="1:18" x14ac:dyDescent="0.2">
      <c r="A540" t="s">
        <v>3316</v>
      </c>
      <c r="B540" t="s">
        <v>3317</v>
      </c>
      <c r="C540" t="s">
        <v>1853</v>
      </c>
      <c r="D540" t="s">
        <v>3318</v>
      </c>
      <c r="E540" t="s">
        <v>1046</v>
      </c>
      <c r="F540" t="s">
        <v>2782</v>
      </c>
      <c r="G540" t="s">
        <v>3291</v>
      </c>
      <c r="H540" s="2" t="s">
        <v>3871</v>
      </c>
      <c r="I540" t="s">
        <v>3319</v>
      </c>
      <c r="J540">
        <v>5470.75</v>
      </c>
      <c r="K540">
        <v>931.07</v>
      </c>
      <c r="L540">
        <v>1070.73</v>
      </c>
      <c r="M540" t="s">
        <v>3314</v>
      </c>
      <c r="N540" t="s">
        <v>19</v>
      </c>
      <c r="O540" t="s">
        <v>19</v>
      </c>
      <c r="P540" t="s">
        <v>3315</v>
      </c>
      <c r="Q540">
        <v>1</v>
      </c>
      <c r="R540" t="s">
        <v>3876</v>
      </c>
    </row>
    <row r="541" spans="1:18" x14ac:dyDescent="0.2">
      <c r="A541" t="s">
        <v>3322</v>
      </c>
      <c r="B541" t="s">
        <v>3323</v>
      </c>
      <c r="C541" t="s">
        <v>3323</v>
      </c>
      <c r="D541" t="s">
        <v>3323</v>
      </c>
      <c r="E541" t="s">
        <v>3324</v>
      </c>
      <c r="F541" t="s">
        <v>2782</v>
      </c>
      <c r="G541" t="s">
        <v>3291</v>
      </c>
      <c r="H541" s="2" t="s">
        <v>3871</v>
      </c>
      <c r="I541" t="s">
        <v>3325</v>
      </c>
      <c r="J541">
        <v>7648.82</v>
      </c>
      <c r="K541">
        <v>5470.75</v>
      </c>
      <c r="L541">
        <v>6291.36</v>
      </c>
      <c r="M541" t="s">
        <v>3320</v>
      </c>
      <c r="N541" t="s">
        <v>19</v>
      </c>
      <c r="O541" t="s">
        <v>19</v>
      </c>
      <c r="P541" t="s">
        <v>3321</v>
      </c>
      <c r="Q541">
        <v>3</v>
      </c>
      <c r="R541" t="s">
        <v>3878</v>
      </c>
    </row>
    <row r="542" spans="1:18" x14ac:dyDescent="0.2">
      <c r="A542" t="s">
        <v>3328</v>
      </c>
      <c r="B542" t="s">
        <v>505</v>
      </c>
      <c r="C542" t="s">
        <v>3060</v>
      </c>
      <c r="D542" t="s">
        <v>3060</v>
      </c>
      <c r="E542" t="s">
        <v>3329</v>
      </c>
      <c r="F542" t="s">
        <v>3330</v>
      </c>
      <c r="G542" t="s">
        <v>3331</v>
      </c>
      <c r="H542" t="s">
        <v>3872</v>
      </c>
      <c r="I542" t="s">
        <v>3332</v>
      </c>
      <c r="J542">
        <v>2035.29</v>
      </c>
      <c r="K542">
        <v>7648.82</v>
      </c>
      <c r="L542">
        <v>8796.14</v>
      </c>
      <c r="M542" t="s">
        <v>3326</v>
      </c>
      <c r="N542" t="s">
        <v>19</v>
      </c>
      <c r="O542" t="s">
        <v>772</v>
      </c>
      <c r="P542" t="s">
        <v>3327</v>
      </c>
      <c r="Q542">
        <v>1</v>
      </c>
      <c r="R542" t="s">
        <v>3876</v>
      </c>
    </row>
    <row r="543" spans="1:18" x14ac:dyDescent="0.2">
      <c r="A543" t="s">
        <v>3335</v>
      </c>
      <c r="B543" t="s">
        <v>585</v>
      </c>
      <c r="C543" t="s">
        <v>588</v>
      </c>
      <c r="D543" t="s">
        <v>587</v>
      </c>
      <c r="E543" t="s">
        <v>3336</v>
      </c>
      <c r="F543" t="s">
        <v>2975</v>
      </c>
      <c r="G543" t="s">
        <v>2976</v>
      </c>
      <c r="H543" t="s">
        <v>3872</v>
      </c>
      <c r="I543" t="s">
        <v>3337</v>
      </c>
      <c r="J543">
        <v>18884.240000000002</v>
      </c>
      <c r="K543">
        <v>2035.29</v>
      </c>
      <c r="L543">
        <v>2340.58</v>
      </c>
      <c r="M543" t="s">
        <v>3333</v>
      </c>
      <c r="N543" t="s">
        <v>19</v>
      </c>
      <c r="O543" t="s">
        <v>19</v>
      </c>
      <c r="P543" t="s">
        <v>3334</v>
      </c>
      <c r="Q543">
        <v>1</v>
      </c>
      <c r="R543" t="s">
        <v>3876</v>
      </c>
    </row>
    <row r="544" spans="1:18" x14ac:dyDescent="0.2">
      <c r="A544" t="s">
        <v>3340</v>
      </c>
      <c r="B544" t="s">
        <v>3341</v>
      </c>
      <c r="C544" t="s">
        <v>3342</v>
      </c>
      <c r="D544" t="s">
        <v>3342</v>
      </c>
      <c r="E544" t="s">
        <v>3343</v>
      </c>
      <c r="F544" t="s">
        <v>2840</v>
      </c>
      <c r="G544" t="s">
        <v>3344</v>
      </c>
      <c r="H544" t="s">
        <v>3872</v>
      </c>
      <c r="I544" t="s">
        <v>3345</v>
      </c>
      <c r="J544">
        <v>148627.10999999999</v>
      </c>
      <c r="K544">
        <v>18884.240000000002</v>
      </c>
      <c r="L544">
        <v>21716.880000000001</v>
      </c>
      <c r="M544" t="s">
        <v>3338</v>
      </c>
      <c r="N544" t="s">
        <v>19</v>
      </c>
      <c r="O544" t="s">
        <v>19</v>
      </c>
      <c r="P544" t="s">
        <v>3339</v>
      </c>
      <c r="Q544">
        <v>27</v>
      </c>
      <c r="R544" t="s">
        <v>3879</v>
      </c>
    </row>
    <row r="545" spans="1:18" x14ac:dyDescent="0.2">
      <c r="A545" t="s">
        <v>3348</v>
      </c>
      <c r="B545" t="s">
        <v>3349</v>
      </c>
      <c r="C545" t="s">
        <v>1853</v>
      </c>
      <c r="D545" t="s">
        <v>3350</v>
      </c>
      <c r="E545" t="s">
        <v>3351</v>
      </c>
      <c r="F545" t="s">
        <v>3202</v>
      </c>
      <c r="G545" t="s">
        <v>3203</v>
      </c>
      <c r="H545" t="s">
        <v>3872</v>
      </c>
      <c r="I545" t="s">
        <v>3352</v>
      </c>
      <c r="J545">
        <v>34940.910000000003</v>
      </c>
      <c r="K545">
        <v>148627.10999999999</v>
      </c>
      <c r="L545">
        <v>170921.18</v>
      </c>
      <c r="M545" t="s">
        <v>3346</v>
      </c>
      <c r="N545" t="s">
        <v>19</v>
      </c>
      <c r="O545" t="s">
        <v>145</v>
      </c>
      <c r="P545" t="s">
        <v>3347</v>
      </c>
      <c r="Q545">
        <v>3</v>
      </c>
      <c r="R545" t="s">
        <v>3878</v>
      </c>
    </row>
    <row r="546" spans="1:18" x14ac:dyDescent="0.2">
      <c r="A546" t="s">
        <v>3355</v>
      </c>
      <c r="B546" t="s">
        <v>2610</v>
      </c>
      <c r="C546" t="s">
        <v>3356</v>
      </c>
      <c r="D546" t="s">
        <v>3356</v>
      </c>
      <c r="E546" t="s">
        <v>3357</v>
      </c>
      <c r="F546" t="s">
        <v>2975</v>
      </c>
      <c r="G546" t="s">
        <v>2976</v>
      </c>
      <c r="H546" t="s">
        <v>3872</v>
      </c>
      <c r="I546" t="s">
        <v>3358</v>
      </c>
      <c r="J546">
        <v>70887.48</v>
      </c>
      <c r="K546">
        <v>34940.910000000003</v>
      </c>
      <c r="L546">
        <v>40182.050000000003</v>
      </c>
      <c r="M546" t="s">
        <v>3353</v>
      </c>
      <c r="N546" t="s">
        <v>19</v>
      </c>
      <c r="O546" t="s">
        <v>772</v>
      </c>
      <c r="P546" t="s">
        <v>3354</v>
      </c>
      <c r="Q546">
        <v>5</v>
      </c>
      <c r="R546" t="s">
        <v>3876</v>
      </c>
    </row>
    <row r="547" spans="1:18" x14ac:dyDescent="0.2">
      <c r="A547" t="s">
        <v>3361</v>
      </c>
      <c r="B547" t="s">
        <v>3362</v>
      </c>
      <c r="C547" t="s">
        <v>132</v>
      </c>
      <c r="D547" t="s">
        <v>132</v>
      </c>
      <c r="E547" t="s">
        <v>3363</v>
      </c>
      <c r="F547" t="s">
        <v>3202</v>
      </c>
      <c r="G547" t="s">
        <v>3330</v>
      </c>
      <c r="H547" t="s">
        <v>3872</v>
      </c>
      <c r="I547" t="s">
        <v>3364</v>
      </c>
      <c r="J547">
        <v>6867.1</v>
      </c>
      <c r="K547">
        <v>70887.48</v>
      </c>
      <c r="L547">
        <v>81520.61</v>
      </c>
      <c r="M547" t="s">
        <v>3359</v>
      </c>
      <c r="N547" t="s">
        <v>19</v>
      </c>
      <c r="O547" t="s">
        <v>19</v>
      </c>
      <c r="P547" t="s">
        <v>3360</v>
      </c>
      <c r="Q547">
        <v>1</v>
      </c>
      <c r="R547" t="s">
        <v>3876</v>
      </c>
    </row>
    <row r="548" spans="1:18" x14ac:dyDescent="0.2">
      <c r="A548" t="s">
        <v>3367</v>
      </c>
      <c r="B548" t="s">
        <v>1015</v>
      </c>
      <c r="C548" t="s">
        <v>1015</v>
      </c>
      <c r="D548" t="s">
        <v>1015</v>
      </c>
      <c r="E548" t="s">
        <v>3368</v>
      </c>
      <c r="F548" t="s">
        <v>3202</v>
      </c>
      <c r="G548" t="s">
        <v>3330</v>
      </c>
      <c r="H548" t="s">
        <v>3872</v>
      </c>
      <c r="I548" t="s">
        <v>1016</v>
      </c>
      <c r="J548">
        <v>98869.09</v>
      </c>
      <c r="K548">
        <v>6867.1</v>
      </c>
      <c r="L548">
        <v>7897.17</v>
      </c>
      <c r="M548" t="s">
        <v>3365</v>
      </c>
      <c r="N548" t="s">
        <v>19</v>
      </c>
      <c r="O548" t="s">
        <v>19</v>
      </c>
      <c r="P548" t="s">
        <v>3366</v>
      </c>
      <c r="Q548">
        <v>5</v>
      </c>
      <c r="R548" t="s">
        <v>3880</v>
      </c>
    </row>
    <row r="549" spans="1:18" x14ac:dyDescent="0.2">
      <c r="A549" t="s">
        <v>3371</v>
      </c>
      <c r="B549" t="s">
        <v>3372</v>
      </c>
      <c r="C549" t="s">
        <v>2185</v>
      </c>
      <c r="D549" t="s">
        <v>3373</v>
      </c>
      <c r="E549" t="s">
        <v>3374</v>
      </c>
      <c r="F549" t="s">
        <v>2888</v>
      </c>
      <c r="G549" t="s">
        <v>3330</v>
      </c>
      <c r="H549" t="s">
        <v>3872</v>
      </c>
      <c r="I549" t="s">
        <v>3375</v>
      </c>
      <c r="J549">
        <v>2012.09</v>
      </c>
      <c r="K549">
        <v>98869.09</v>
      </c>
      <c r="L549">
        <v>113699.45</v>
      </c>
      <c r="M549" t="s">
        <v>3369</v>
      </c>
      <c r="N549" t="s">
        <v>19</v>
      </c>
      <c r="O549" t="s">
        <v>2546</v>
      </c>
      <c r="P549" t="s">
        <v>3370</v>
      </c>
      <c r="Q549">
        <v>1</v>
      </c>
      <c r="R549" t="s">
        <v>3876</v>
      </c>
    </row>
    <row r="550" spans="1:18" x14ac:dyDescent="0.2">
      <c r="A550" t="s">
        <v>3378</v>
      </c>
      <c r="B550" t="s">
        <v>3379</v>
      </c>
      <c r="C550" t="s">
        <v>1853</v>
      </c>
      <c r="D550" t="s">
        <v>3379</v>
      </c>
      <c r="E550" t="s">
        <v>3380</v>
      </c>
      <c r="F550" t="s">
        <v>3202</v>
      </c>
      <c r="G550" t="s">
        <v>3330</v>
      </c>
      <c r="H550" t="s">
        <v>3872</v>
      </c>
      <c r="I550" t="s">
        <v>3381</v>
      </c>
      <c r="J550">
        <v>32026.71</v>
      </c>
      <c r="K550">
        <v>2012.09</v>
      </c>
      <c r="L550">
        <v>2313.9</v>
      </c>
      <c r="M550" t="s">
        <v>3376</v>
      </c>
      <c r="N550" t="s">
        <v>19</v>
      </c>
      <c r="O550" t="s">
        <v>19</v>
      </c>
      <c r="P550" t="s">
        <v>3377</v>
      </c>
      <c r="Q550">
        <v>3</v>
      </c>
      <c r="R550" t="s">
        <v>3876</v>
      </c>
    </row>
    <row r="551" spans="1:18" x14ac:dyDescent="0.2">
      <c r="A551" t="s">
        <v>3384</v>
      </c>
      <c r="B551" t="s">
        <v>3385</v>
      </c>
      <c r="C551" t="s">
        <v>3385</v>
      </c>
      <c r="D551" t="s">
        <v>3385</v>
      </c>
      <c r="E551" t="s">
        <v>3386</v>
      </c>
      <c r="F551" t="s">
        <v>2888</v>
      </c>
      <c r="G551" t="s">
        <v>3174</v>
      </c>
      <c r="H551" t="s">
        <v>3872</v>
      </c>
      <c r="I551" t="s">
        <v>3387</v>
      </c>
      <c r="J551">
        <v>122782.25</v>
      </c>
      <c r="K551">
        <v>32026.71</v>
      </c>
      <c r="L551">
        <v>36830.720000000001</v>
      </c>
      <c r="M551" t="s">
        <v>3382</v>
      </c>
      <c r="N551" t="s">
        <v>19</v>
      </c>
      <c r="O551" t="s">
        <v>19</v>
      </c>
      <c r="P551" t="s">
        <v>3383</v>
      </c>
      <c r="Q551">
        <v>10</v>
      </c>
      <c r="R551" t="s">
        <v>3876</v>
      </c>
    </row>
    <row r="552" spans="1:18" x14ac:dyDescent="0.2">
      <c r="A552" t="s">
        <v>3390</v>
      </c>
      <c r="B552" t="s">
        <v>382</v>
      </c>
      <c r="C552" t="s">
        <v>384</v>
      </c>
      <c r="D552" t="s">
        <v>384</v>
      </c>
      <c r="E552" t="s">
        <v>3391</v>
      </c>
      <c r="F552" t="s">
        <v>2888</v>
      </c>
      <c r="G552" t="s">
        <v>3174</v>
      </c>
      <c r="H552" t="s">
        <v>3872</v>
      </c>
      <c r="I552" t="s">
        <v>3392</v>
      </c>
      <c r="J552">
        <v>4029.44</v>
      </c>
      <c r="K552">
        <v>122782.25</v>
      </c>
      <c r="L552">
        <v>141199.62</v>
      </c>
      <c r="M552" t="s">
        <v>3388</v>
      </c>
      <c r="N552" t="s">
        <v>19</v>
      </c>
      <c r="O552" t="s">
        <v>19</v>
      </c>
      <c r="P552" t="s">
        <v>3389</v>
      </c>
      <c r="Q552">
        <v>1</v>
      </c>
      <c r="R552" t="s">
        <v>3876</v>
      </c>
    </row>
    <row r="553" spans="1:18" x14ac:dyDescent="0.2">
      <c r="A553" t="s">
        <v>3395</v>
      </c>
      <c r="B553" t="s">
        <v>3396</v>
      </c>
      <c r="C553" t="s">
        <v>3397</v>
      </c>
      <c r="D553" t="s">
        <v>3397</v>
      </c>
      <c r="E553" t="s">
        <v>3398</v>
      </c>
      <c r="F553" t="s">
        <v>2888</v>
      </c>
      <c r="G553" t="s">
        <v>3174</v>
      </c>
      <c r="H553" t="s">
        <v>3872</v>
      </c>
      <c r="I553" t="s">
        <v>3399</v>
      </c>
      <c r="J553">
        <v>238493.52</v>
      </c>
      <c r="K553">
        <v>4029.44</v>
      </c>
      <c r="L553">
        <v>4633.8599999999997</v>
      </c>
      <c r="M553" t="s">
        <v>3393</v>
      </c>
      <c r="N553" t="s">
        <v>19</v>
      </c>
      <c r="O553" t="s">
        <v>19</v>
      </c>
      <c r="P553" t="s">
        <v>3394</v>
      </c>
      <c r="Q553">
        <v>65</v>
      </c>
      <c r="R553" t="s">
        <v>3879</v>
      </c>
    </row>
    <row r="554" spans="1:18" x14ac:dyDescent="0.2">
      <c r="A554" t="s">
        <v>3402</v>
      </c>
      <c r="B554" t="s">
        <v>569</v>
      </c>
      <c r="C554" t="s">
        <v>3403</v>
      </c>
      <c r="D554" t="s">
        <v>3404</v>
      </c>
      <c r="E554" t="s">
        <v>3405</v>
      </c>
      <c r="F554" t="s">
        <v>2984</v>
      </c>
      <c r="G554" t="s">
        <v>3033</v>
      </c>
      <c r="H554" t="s">
        <v>3872</v>
      </c>
      <c r="I554" t="s">
        <v>3406</v>
      </c>
      <c r="J554">
        <v>444179.41</v>
      </c>
      <c r="K554">
        <v>238493.52</v>
      </c>
      <c r="L554">
        <v>274267.55</v>
      </c>
      <c r="M554" t="s">
        <v>3400</v>
      </c>
      <c r="N554" t="s">
        <v>19</v>
      </c>
      <c r="O554" t="s">
        <v>19</v>
      </c>
      <c r="P554" t="s">
        <v>3401</v>
      </c>
      <c r="Q554">
        <v>73</v>
      </c>
      <c r="R554" t="s">
        <v>3876</v>
      </c>
    </row>
    <row r="555" spans="1:18" x14ac:dyDescent="0.2">
      <c r="A555" t="s">
        <v>3409</v>
      </c>
      <c r="B555" t="s">
        <v>505</v>
      </c>
      <c r="C555" t="s">
        <v>2247</v>
      </c>
      <c r="D555" t="s">
        <v>168</v>
      </c>
      <c r="E555" t="s">
        <v>3410</v>
      </c>
      <c r="F555" t="s">
        <v>2908</v>
      </c>
      <c r="G555" t="s">
        <v>3411</v>
      </c>
      <c r="H555" t="s">
        <v>3872</v>
      </c>
      <c r="I555" t="s">
        <v>3412</v>
      </c>
      <c r="J555">
        <v>6534.29</v>
      </c>
      <c r="K555">
        <v>444179.41</v>
      </c>
      <c r="L555">
        <v>510806.33</v>
      </c>
      <c r="M555" t="s">
        <v>3407</v>
      </c>
      <c r="N555" t="s">
        <v>19</v>
      </c>
      <c r="O555" t="s">
        <v>19</v>
      </c>
      <c r="P555" t="s">
        <v>3408</v>
      </c>
      <c r="Q555">
        <v>1</v>
      </c>
      <c r="R555" t="s">
        <v>3876</v>
      </c>
    </row>
    <row r="556" spans="1:18" x14ac:dyDescent="0.2">
      <c r="A556" t="s">
        <v>3415</v>
      </c>
      <c r="B556" t="s">
        <v>505</v>
      </c>
      <c r="C556" t="s">
        <v>2247</v>
      </c>
      <c r="D556" t="s">
        <v>168</v>
      </c>
      <c r="E556" t="s">
        <v>3416</v>
      </c>
      <c r="F556" t="s">
        <v>2908</v>
      </c>
      <c r="G556" t="s">
        <v>3411</v>
      </c>
      <c r="H556" t="s">
        <v>3872</v>
      </c>
      <c r="I556" t="s">
        <v>3417</v>
      </c>
      <c r="J556">
        <v>8449.58</v>
      </c>
      <c r="K556">
        <v>6534.29</v>
      </c>
      <c r="L556">
        <v>7514.43</v>
      </c>
      <c r="M556" t="s">
        <v>3413</v>
      </c>
      <c r="N556" t="s">
        <v>19</v>
      </c>
      <c r="O556" t="s">
        <v>19</v>
      </c>
      <c r="P556" t="s">
        <v>3414</v>
      </c>
      <c r="Q556">
        <v>2</v>
      </c>
      <c r="R556" t="s">
        <v>3876</v>
      </c>
    </row>
    <row r="557" spans="1:18" x14ac:dyDescent="0.2">
      <c r="A557" t="s">
        <v>3420</v>
      </c>
      <c r="B557" t="s">
        <v>505</v>
      </c>
      <c r="C557" t="s">
        <v>1190</v>
      </c>
      <c r="D557" t="s">
        <v>1190</v>
      </c>
      <c r="E557" t="s">
        <v>3421</v>
      </c>
      <c r="F557" t="s">
        <v>2908</v>
      </c>
      <c r="G557" t="s">
        <v>3411</v>
      </c>
      <c r="H557" t="s">
        <v>3872</v>
      </c>
      <c r="I557" t="s">
        <v>3422</v>
      </c>
      <c r="J557">
        <v>6684.29</v>
      </c>
      <c r="K557">
        <v>8449.58</v>
      </c>
      <c r="L557">
        <v>9717.02</v>
      </c>
      <c r="M557" t="s">
        <v>3418</v>
      </c>
      <c r="N557" t="s">
        <v>19</v>
      </c>
      <c r="O557" t="s">
        <v>19</v>
      </c>
      <c r="P557" t="s">
        <v>3419</v>
      </c>
      <c r="Q557">
        <v>1</v>
      </c>
      <c r="R557" t="s">
        <v>3876</v>
      </c>
    </row>
    <row r="558" spans="1:18" x14ac:dyDescent="0.2">
      <c r="A558" t="s">
        <v>3425</v>
      </c>
      <c r="B558" t="s">
        <v>505</v>
      </c>
      <c r="C558" t="s">
        <v>507</v>
      </c>
      <c r="D558" t="s">
        <v>168</v>
      </c>
      <c r="E558" t="s">
        <v>3426</v>
      </c>
      <c r="F558" t="s">
        <v>2908</v>
      </c>
      <c r="G558" t="s">
        <v>3411</v>
      </c>
      <c r="H558" t="s">
        <v>3872</v>
      </c>
      <c r="I558" t="s">
        <v>3427</v>
      </c>
      <c r="J558">
        <v>1915.29</v>
      </c>
      <c r="K558">
        <v>6684.29</v>
      </c>
      <c r="L558">
        <v>7686.93</v>
      </c>
      <c r="M558" t="s">
        <v>3423</v>
      </c>
      <c r="N558" t="s">
        <v>19</v>
      </c>
      <c r="O558" t="s">
        <v>19</v>
      </c>
      <c r="P558" t="s">
        <v>3424</v>
      </c>
      <c r="Q558">
        <v>1</v>
      </c>
      <c r="R558" t="s">
        <v>3876</v>
      </c>
    </row>
    <row r="559" spans="1:18" x14ac:dyDescent="0.2">
      <c r="A559" t="s">
        <v>3430</v>
      </c>
      <c r="B559" t="s">
        <v>505</v>
      </c>
      <c r="C559" t="s">
        <v>507</v>
      </c>
      <c r="D559" t="s">
        <v>168</v>
      </c>
      <c r="E559" t="s">
        <v>3431</v>
      </c>
      <c r="F559" t="s">
        <v>2908</v>
      </c>
      <c r="G559" t="s">
        <v>3411</v>
      </c>
      <c r="H559" t="s">
        <v>3872</v>
      </c>
      <c r="I559" t="s">
        <v>3427</v>
      </c>
      <c r="J559">
        <v>1915.29</v>
      </c>
      <c r="K559">
        <v>1915.29</v>
      </c>
      <c r="L559">
        <v>2202.58</v>
      </c>
      <c r="M559" t="s">
        <v>3428</v>
      </c>
      <c r="N559" t="s">
        <v>19</v>
      </c>
      <c r="O559" t="s">
        <v>19</v>
      </c>
      <c r="P559" t="s">
        <v>3429</v>
      </c>
      <c r="Q559">
        <v>1</v>
      </c>
      <c r="R559" t="s">
        <v>3876</v>
      </c>
    </row>
    <row r="560" spans="1:18" x14ac:dyDescent="0.2">
      <c r="A560" t="s">
        <v>3434</v>
      </c>
      <c r="B560" t="s">
        <v>505</v>
      </c>
      <c r="C560" t="s">
        <v>1190</v>
      </c>
      <c r="D560" t="s">
        <v>1190</v>
      </c>
      <c r="E560" t="s">
        <v>3435</v>
      </c>
      <c r="F560" t="s">
        <v>2908</v>
      </c>
      <c r="G560" t="s">
        <v>3411</v>
      </c>
      <c r="H560" t="s">
        <v>3872</v>
      </c>
      <c r="I560" t="s">
        <v>3422</v>
      </c>
      <c r="J560">
        <v>2065.29</v>
      </c>
      <c r="K560">
        <v>1915.29</v>
      </c>
      <c r="L560">
        <v>2202.58</v>
      </c>
      <c r="M560" t="s">
        <v>3432</v>
      </c>
      <c r="N560" t="s">
        <v>19</v>
      </c>
      <c r="O560" t="s">
        <v>19</v>
      </c>
      <c r="P560" t="s">
        <v>3433</v>
      </c>
      <c r="Q560">
        <v>1</v>
      </c>
      <c r="R560" t="s">
        <v>3876</v>
      </c>
    </row>
    <row r="561" spans="1:18" x14ac:dyDescent="0.2">
      <c r="A561" t="s">
        <v>3438</v>
      </c>
      <c r="B561" t="s">
        <v>3093</v>
      </c>
      <c r="C561" t="s">
        <v>121</v>
      </c>
      <c r="D561" t="s">
        <v>3226</v>
      </c>
      <c r="E561" t="s">
        <v>1046</v>
      </c>
      <c r="F561" t="s">
        <v>2908</v>
      </c>
      <c r="G561" t="s">
        <v>3411</v>
      </c>
      <c r="H561" s="2" t="s">
        <v>3871</v>
      </c>
      <c r="I561" t="s">
        <v>3439</v>
      </c>
      <c r="J561">
        <v>3042.84</v>
      </c>
      <c r="K561">
        <v>2065.29</v>
      </c>
      <c r="L561">
        <v>2375.08</v>
      </c>
      <c r="M561" t="s">
        <v>3436</v>
      </c>
      <c r="N561" t="s">
        <v>19</v>
      </c>
      <c r="O561" t="s">
        <v>19</v>
      </c>
      <c r="P561" t="s">
        <v>3437</v>
      </c>
      <c r="Q561">
        <v>1</v>
      </c>
      <c r="R561" t="s">
        <v>3878</v>
      </c>
    </row>
    <row r="562" spans="1:18" x14ac:dyDescent="0.2">
      <c r="A562" t="s">
        <v>3442</v>
      </c>
      <c r="B562" t="s">
        <v>1323</v>
      </c>
      <c r="C562" t="s">
        <v>1258</v>
      </c>
      <c r="D562" t="s">
        <v>1324</v>
      </c>
      <c r="E562" t="s">
        <v>3443</v>
      </c>
      <c r="F562" t="s">
        <v>2908</v>
      </c>
      <c r="G562" t="s">
        <v>3411</v>
      </c>
      <c r="H562" s="2" t="s">
        <v>3871</v>
      </c>
      <c r="I562" t="s">
        <v>3444</v>
      </c>
      <c r="J562">
        <v>167700.07</v>
      </c>
      <c r="K562">
        <v>3042.84</v>
      </c>
      <c r="L562">
        <v>3499.27</v>
      </c>
      <c r="M562" t="s">
        <v>3440</v>
      </c>
      <c r="N562" t="s">
        <v>19</v>
      </c>
      <c r="O562" t="s">
        <v>19</v>
      </c>
      <c r="P562" t="s">
        <v>3441</v>
      </c>
      <c r="Q562">
        <v>16</v>
      </c>
      <c r="R562" t="s">
        <v>3876</v>
      </c>
    </row>
    <row r="563" spans="1:18" x14ac:dyDescent="0.2">
      <c r="A563" t="s">
        <v>3447</v>
      </c>
      <c r="B563" t="s">
        <v>3093</v>
      </c>
      <c r="C563" t="s">
        <v>121</v>
      </c>
      <c r="D563" t="s">
        <v>3226</v>
      </c>
      <c r="E563" t="s">
        <v>3448</v>
      </c>
      <c r="F563" t="s">
        <v>3449</v>
      </c>
      <c r="G563" t="s">
        <v>3450</v>
      </c>
      <c r="H563" s="2" t="s">
        <v>3871</v>
      </c>
      <c r="I563" t="s">
        <v>3451</v>
      </c>
      <c r="J563">
        <v>4923.6000000000004</v>
      </c>
      <c r="K563">
        <v>167700.07</v>
      </c>
      <c r="L563">
        <v>192855.07</v>
      </c>
      <c r="M563" t="s">
        <v>3445</v>
      </c>
      <c r="N563" t="s">
        <v>19</v>
      </c>
      <c r="O563" t="s">
        <v>19</v>
      </c>
      <c r="P563" t="s">
        <v>3446</v>
      </c>
      <c r="Q563">
        <v>1</v>
      </c>
      <c r="R563" t="s">
        <v>3876</v>
      </c>
    </row>
    <row r="564" spans="1:18" x14ac:dyDescent="0.2">
      <c r="A564" t="s">
        <v>3454</v>
      </c>
      <c r="B564" t="s">
        <v>2610</v>
      </c>
      <c r="C564" t="s">
        <v>3455</v>
      </c>
      <c r="D564" t="s">
        <v>2611</v>
      </c>
      <c r="E564" t="s">
        <v>3456</v>
      </c>
      <c r="F564" t="s">
        <v>2975</v>
      </c>
      <c r="G564" t="s">
        <v>2976</v>
      </c>
      <c r="H564" t="s">
        <v>3872</v>
      </c>
      <c r="I564" t="s">
        <v>3457</v>
      </c>
      <c r="J564">
        <v>25020.75</v>
      </c>
      <c r="K564">
        <v>4923.6000000000004</v>
      </c>
      <c r="L564">
        <v>5662.14</v>
      </c>
      <c r="M564" t="s">
        <v>3452</v>
      </c>
      <c r="N564" t="s">
        <v>19</v>
      </c>
      <c r="O564" t="s">
        <v>19</v>
      </c>
      <c r="P564" t="s">
        <v>3453</v>
      </c>
      <c r="Q564">
        <v>2</v>
      </c>
      <c r="R564" t="s">
        <v>3876</v>
      </c>
    </row>
    <row r="565" spans="1:18" x14ac:dyDescent="0.2">
      <c r="A565" t="s">
        <v>3460</v>
      </c>
      <c r="B565" t="s">
        <v>2610</v>
      </c>
      <c r="C565" t="s">
        <v>3461</v>
      </c>
      <c r="D565" t="s">
        <v>3461</v>
      </c>
      <c r="E565" t="s">
        <v>3462</v>
      </c>
      <c r="F565" t="s">
        <v>2975</v>
      </c>
      <c r="G565" t="s">
        <v>2976</v>
      </c>
      <c r="H565" t="s">
        <v>3872</v>
      </c>
      <c r="I565" t="s">
        <v>3463</v>
      </c>
      <c r="J565">
        <v>80774.25</v>
      </c>
      <c r="K565">
        <v>25020.75</v>
      </c>
      <c r="L565">
        <v>28773.86</v>
      </c>
      <c r="M565" t="s">
        <v>3458</v>
      </c>
      <c r="N565" t="s">
        <v>19</v>
      </c>
      <c r="O565" t="s">
        <v>19</v>
      </c>
      <c r="P565" t="s">
        <v>3459</v>
      </c>
      <c r="Q565">
        <v>6</v>
      </c>
      <c r="R565" t="s">
        <v>3876</v>
      </c>
    </row>
    <row r="566" spans="1:18" x14ac:dyDescent="0.2">
      <c r="A566" t="s">
        <v>3466</v>
      </c>
      <c r="B566" t="s">
        <v>3467</v>
      </c>
      <c r="C566" t="s">
        <v>3468</v>
      </c>
      <c r="D566" t="s">
        <v>3468</v>
      </c>
      <c r="E566" t="s">
        <v>3469</v>
      </c>
      <c r="F566" t="s">
        <v>2975</v>
      </c>
      <c r="G566" t="s">
        <v>2976</v>
      </c>
      <c r="H566" t="s">
        <v>3872</v>
      </c>
      <c r="I566" t="s">
        <v>3470</v>
      </c>
      <c r="J566">
        <v>24282.19</v>
      </c>
      <c r="K566">
        <v>80774.25</v>
      </c>
      <c r="L566">
        <v>92890.39</v>
      </c>
      <c r="M566" t="s">
        <v>3464</v>
      </c>
      <c r="N566" t="s">
        <v>19</v>
      </c>
      <c r="O566" t="s">
        <v>19</v>
      </c>
      <c r="P566" t="s">
        <v>3465</v>
      </c>
      <c r="Q566">
        <v>2</v>
      </c>
      <c r="R566" t="s">
        <v>3876</v>
      </c>
    </row>
    <row r="567" spans="1:18" x14ac:dyDescent="0.2">
      <c r="A567" t="s">
        <v>3473</v>
      </c>
      <c r="B567" t="s">
        <v>585</v>
      </c>
      <c r="C567" t="s">
        <v>3474</v>
      </c>
      <c r="D567" t="s">
        <v>587</v>
      </c>
      <c r="E567" t="s">
        <v>3475</v>
      </c>
      <c r="F567" t="s">
        <v>2975</v>
      </c>
      <c r="G567" t="s">
        <v>2976</v>
      </c>
      <c r="H567" t="s">
        <v>3872</v>
      </c>
      <c r="I567" t="s">
        <v>3476</v>
      </c>
      <c r="J567">
        <v>44229.440000000002</v>
      </c>
      <c r="K567">
        <v>24282.19</v>
      </c>
      <c r="L567">
        <v>27924.52</v>
      </c>
      <c r="M567" t="s">
        <v>3471</v>
      </c>
      <c r="N567" t="s">
        <v>19</v>
      </c>
      <c r="O567" t="s">
        <v>19</v>
      </c>
      <c r="P567" t="s">
        <v>3472</v>
      </c>
      <c r="Q567">
        <v>1</v>
      </c>
      <c r="R567" t="s">
        <v>3876</v>
      </c>
    </row>
    <row r="568" spans="1:18" x14ac:dyDescent="0.2">
      <c r="A568" t="s">
        <v>3479</v>
      </c>
      <c r="B568" t="s">
        <v>35</v>
      </c>
      <c r="C568" t="s">
        <v>36</v>
      </c>
      <c r="D568" t="s">
        <v>37</v>
      </c>
      <c r="E568" t="s">
        <v>3480</v>
      </c>
      <c r="F568" t="s">
        <v>3481</v>
      </c>
      <c r="G568" t="s">
        <v>3482</v>
      </c>
      <c r="H568" t="s">
        <v>3872</v>
      </c>
      <c r="I568" t="s">
        <v>39</v>
      </c>
      <c r="J568">
        <v>2128.1</v>
      </c>
      <c r="K568">
        <v>44229.440000000002</v>
      </c>
      <c r="L568">
        <v>50863.86</v>
      </c>
      <c r="M568" t="s">
        <v>3477</v>
      </c>
      <c r="N568" t="s">
        <v>19</v>
      </c>
      <c r="O568" t="s">
        <v>19</v>
      </c>
      <c r="P568" t="s">
        <v>3478</v>
      </c>
      <c r="Q568">
        <v>1</v>
      </c>
      <c r="R568" t="s">
        <v>3876</v>
      </c>
    </row>
    <row r="569" spans="1:18" x14ac:dyDescent="0.2">
      <c r="A569" t="s">
        <v>3485</v>
      </c>
      <c r="B569" t="s">
        <v>505</v>
      </c>
      <c r="C569" t="s">
        <v>2893</v>
      </c>
      <c r="D569" t="s">
        <v>2893</v>
      </c>
      <c r="E569" t="s">
        <v>3486</v>
      </c>
      <c r="F569" t="s">
        <v>2975</v>
      </c>
      <c r="G569" t="s">
        <v>2976</v>
      </c>
      <c r="H569" t="s">
        <v>3872</v>
      </c>
      <c r="I569" t="s">
        <v>2896</v>
      </c>
      <c r="J569">
        <v>10052.299999999999</v>
      </c>
      <c r="K569">
        <v>2128.1</v>
      </c>
      <c r="L569">
        <v>2447.3200000000002</v>
      </c>
      <c r="M569" t="s">
        <v>3483</v>
      </c>
      <c r="N569" t="s">
        <v>19</v>
      </c>
      <c r="O569" t="s">
        <v>19</v>
      </c>
      <c r="P569" t="s">
        <v>3484</v>
      </c>
      <c r="Q569">
        <v>1</v>
      </c>
      <c r="R569" t="s">
        <v>3878</v>
      </c>
    </row>
    <row r="570" spans="1:18" x14ac:dyDescent="0.2">
      <c r="A570" t="s">
        <v>3489</v>
      </c>
      <c r="B570" t="s">
        <v>850</v>
      </c>
      <c r="C570" t="s">
        <v>851</v>
      </c>
      <c r="D570" t="s">
        <v>852</v>
      </c>
      <c r="E570" t="s">
        <v>3490</v>
      </c>
      <c r="F570" t="s">
        <v>2975</v>
      </c>
      <c r="G570" t="s">
        <v>2976</v>
      </c>
      <c r="H570" t="s">
        <v>3872</v>
      </c>
      <c r="I570" t="s">
        <v>3491</v>
      </c>
      <c r="J570">
        <v>2042.09</v>
      </c>
      <c r="K570">
        <v>10052.299999999999</v>
      </c>
      <c r="L570">
        <v>11560.14</v>
      </c>
      <c r="M570" t="s">
        <v>3487</v>
      </c>
      <c r="N570" t="s">
        <v>19</v>
      </c>
      <c r="O570" t="s">
        <v>19</v>
      </c>
      <c r="P570" t="s">
        <v>3488</v>
      </c>
      <c r="Q570">
        <v>1</v>
      </c>
      <c r="R570" t="s">
        <v>3876</v>
      </c>
    </row>
    <row r="571" spans="1:18" x14ac:dyDescent="0.2">
      <c r="A571" t="s">
        <v>3494</v>
      </c>
      <c r="B571" t="s">
        <v>302</v>
      </c>
      <c r="C571" t="s">
        <v>121</v>
      </c>
      <c r="D571" t="s">
        <v>305</v>
      </c>
      <c r="E571" t="s">
        <v>3495</v>
      </c>
      <c r="F571" t="s">
        <v>2975</v>
      </c>
      <c r="G571" t="s">
        <v>2976</v>
      </c>
      <c r="H571" t="s">
        <v>3872</v>
      </c>
      <c r="I571" t="s">
        <v>3496</v>
      </c>
      <c r="J571">
        <v>17992</v>
      </c>
      <c r="K571">
        <v>2042.09</v>
      </c>
      <c r="L571">
        <v>2348.4</v>
      </c>
      <c r="M571" t="s">
        <v>3492</v>
      </c>
      <c r="N571" t="s">
        <v>19</v>
      </c>
      <c r="O571" t="s">
        <v>19</v>
      </c>
      <c r="P571" t="s">
        <v>3493</v>
      </c>
      <c r="Q571">
        <v>1</v>
      </c>
      <c r="R571" t="s">
        <v>3876</v>
      </c>
    </row>
    <row r="572" spans="1:18" x14ac:dyDescent="0.2">
      <c r="A572" t="s">
        <v>3499</v>
      </c>
      <c r="B572" t="s">
        <v>1237</v>
      </c>
      <c r="C572" t="s">
        <v>1238</v>
      </c>
      <c r="D572" t="s">
        <v>1238</v>
      </c>
      <c r="E572" t="s">
        <v>3500</v>
      </c>
      <c r="F572" t="s">
        <v>2975</v>
      </c>
      <c r="G572" t="s">
        <v>2976</v>
      </c>
      <c r="H572" t="s">
        <v>3872</v>
      </c>
      <c r="I572" t="s">
        <v>3501</v>
      </c>
      <c r="J572">
        <v>1982.09</v>
      </c>
      <c r="K572">
        <v>17992</v>
      </c>
      <c r="L572">
        <v>20690.8</v>
      </c>
      <c r="M572" t="s">
        <v>3497</v>
      </c>
      <c r="N572" t="s">
        <v>19</v>
      </c>
      <c r="O572" t="s">
        <v>19</v>
      </c>
      <c r="P572" t="s">
        <v>3498</v>
      </c>
      <c r="Q572">
        <v>1</v>
      </c>
      <c r="R572" t="s">
        <v>3878</v>
      </c>
    </row>
    <row r="573" spans="1:18" x14ac:dyDescent="0.2">
      <c r="A573" t="s">
        <v>3504</v>
      </c>
      <c r="B573" t="s">
        <v>2584</v>
      </c>
      <c r="C573" t="s">
        <v>759</v>
      </c>
      <c r="D573" t="s">
        <v>2585</v>
      </c>
      <c r="E573" t="s">
        <v>3505</v>
      </c>
      <c r="F573" t="s">
        <v>2975</v>
      </c>
      <c r="G573" t="s">
        <v>2976</v>
      </c>
      <c r="H573" s="2" t="s">
        <v>3871</v>
      </c>
      <c r="I573" t="s">
        <v>3506</v>
      </c>
      <c r="J573">
        <v>185206.28</v>
      </c>
      <c r="K573">
        <v>1982.09</v>
      </c>
      <c r="L573">
        <v>2279.4</v>
      </c>
      <c r="M573" t="s">
        <v>3502</v>
      </c>
      <c r="N573" t="s">
        <v>19</v>
      </c>
      <c r="O573" t="s">
        <v>19</v>
      </c>
      <c r="P573" t="s">
        <v>3503</v>
      </c>
      <c r="Q573">
        <v>15</v>
      </c>
      <c r="R573" t="s">
        <v>3878</v>
      </c>
    </row>
    <row r="574" spans="1:18" x14ac:dyDescent="0.2">
      <c r="A574" t="s">
        <v>3509</v>
      </c>
      <c r="B574" t="s">
        <v>440</v>
      </c>
      <c r="C574" t="s">
        <v>113</v>
      </c>
      <c r="D574" t="s">
        <v>3188</v>
      </c>
      <c r="E574" t="s">
        <v>3510</v>
      </c>
      <c r="F574" t="s">
        <v>3511</v>
      </c>
      <c r="G574" t="s">
        <v>3512</v>
      </c>
      <c r="H574" s="2" t="s">
        <v>3871</v>
      </c>
      <c r="I574" t="s">
        <v>3513</v>
      </c>
      <c r="J574">
        <v>3658.88</v>
      </c>
      <c r="K574">
        <v>185206.28</v>
      </c>
      <c r="L574">
        <v>212987.22</v>
      </c>
      <c r="M574" t="s">
        <v>3507</v>
      </c>
      <c r="N574" t="s">
        <v>19</v>
      </c>
      <c r="O574" t="s">
        <v>19</v>
      </c>
      <c r="P574" t="s">
        <v>3508</v>
      </c>
      <c r="Q574">
        <v>1</v>
      </c>
      <c r="R574" t="s">
        <v>3876</v>
      </c>
    </row>
    <row r="575" spans="1:18" x14ac:dyDescent="0.2">
      <c r="A575" t="s">
        <v>3516</v>
      </c>
      <c r="B575" t="s">
        <v>850</v>
      </c>
      <c r="C575" t="s">
        <v>14</v>
      </c>
      <c r="D575" t="s">
        <v>14</v>
      </c>
      <c r="E575" t="s">
        <v>3517</v>
      </c>
      <c r="F575" t="s">
        <v>3511</v>
      </c>
      <c r="G575" t="s">
        <v>3512</v>
      </c>
      <c r="H575" t="s">
        <v>3872</v>
      </c>
      <c r="I575" t="s">
        <v>3518</v>
      </c>
      <c r="J575">
        <v>12427.09</v>
      </c>
      <c r="K575">
        <v>3658.88</v>
      </c>
      <c r="L575">
        <v>4207.71</v>
      </c>
      <c r="M575" t="s">
        <v>3514</v>
      </c>
      <c r="N575" t="s">
        <v>19</v>
      </c>
      <c r="O575" t="s">
        <v>19</v>
      </c>
      <c r="P575" t="s">
        <v>3515</v>
      </c>
      <c r="Q575">
        <v>1</v>
      </c>
      <c r="R575" t="s">
        <v>3877</v>
      </c>
    </row>
    <row r="576" spans="1:18" x14ac:dyDescent="0.2">
      <c r="A576" t="s">
        <v>3521</v>
      </c>
      <c r="B576" t="s">
        <v>1323</v>
      </c>
      <c r="C576" t="s">
        <v>1258</v>
      </c>
      <c r="D576" t="s">
        <v>1324</v>
      </c>
      <c r="E576" t="s">
        <v>283</v>
      </c>
      <c r="F576" t="s">
        <v>3038</v>
      </c>
      <c r="G576" t="s">
        <v>3522</v>
      </c>
      <c r="H576" s="2" t="s">
        <v>3871</v>
      </c>
      <c r="I576" t="s">
        <v>3444</v>
      </c>
      <c r="J576">
        <v>101456.32000000001</v>
      </c>
      <c r="K576">
        <v>12427.09</v>
      </c>
      <c r="L576">
        <v>14291.15</v>
      </c>
      <c r="M576" t="s">
        <v>3519</v>
      </c>
      <c r="N576" t="s">
        <v>19</v>
      </c>
      <c r="O576" t="s">
        <v>772</v>
      </c>
      <c r="P576" t="s">
        <v>3520</v>
      </c>
      <c r="Q576">
        <v>11</v>
      </c>
      <c r="R576" t="s">
        <v>3878</v>
      </c>
    </row>
    <row r="577" spans="1:18" x14ac:dyDescent="0.2">
      <c r="A577" t="s">
        <v>3525</v>
      </c>
      <c r="B577" t="s">
        <v>3526</v>
      </c>
      <c r="C577" t="s">
        <v>1853</v>
      </c>
      <c r="D577" t="s">
        <v>3527</v>
      </c>
      <c r="E577" t="s">
        <v>3528</v>
      </c>
      <c r="F577" t="s">
        <v>3049</v>
      </c>
      <c r="G577" t="s">
        <v>3529</v>
      </c>
      <c r="H577" s="2" t="s">
        <v>3871</v>
      </c>
      <c r="I577" t="s">
        <v>3530</v>
      </c>
      <c r="J577">
        <v>13260.35</v>
      </c>
      <c r="K577">
        <v>101456.32000000001</v>
      </c>
      <c r="L577">
        <v>116674.77</v>
      </c>
      <c r="M577" t="s">
        <v>3523</v>
      </c>
      <c r="N577" t="s">
        <v>19</v>
      </c>
      <c r="O577" t="s">
        <v>19</v>
      </c>
      <c r="P577" t="s">
        <v>3524</v>
      </c>
      <c r="Q577">
        <v>1</v>
      </c>
      <c r="R577" t="s">
        <v>3876</v>
      </c>
    </row>
    <row r="578" spans="1:18" x14ac:dyDescent="0.2">
      <c r="A578" t="s">
        <v>3533</v>
      </c>
      <c r="B578" t="s">
        <v>850</v>
      </c>
      <c r="C578" t="s">
        <v>851</v>
      </c>
      <c r="D578" t="s">
        <v>852</v>
      </c>
      <c r="E578" t="s">
        <v>3534</v>
      </c>
      <c r="F578" t="s">
        <v>3049</v>
      </c>
      <c r="G578" t="s">
        <v>3529</v>
      </c>
      <c r="H578" t="s">
        <v>3872</v>
      </c>
      <c r="I578" t="s">
        <v>3535</v>
      </c>
      <c r="J578">
        <v>6529.36</v>
      </c>
      <c r="K578">
        <v>13260.35</v>
      </c>
      <c r="L578">
        <v>15249.4</v>
      </c>
      <c r="M578" t="s">
        <v>3531</v>
      </c>
      <c r="N578" t="s">
        <v>19</v>
      </c>
      <c r="O578" t="s">
        <v>19</v>
      </c>
      <c r="P578" t="s">
        <v>3532</v>
      </c>
      <c r="Q578">
        <v>1</v>
      </c>
      <c r="R578" t="s">
        <v>3876</v>
      </c>
    </row>
    <row r="579" spans="1:18" x14ac:dyDescent="0.2">
      <c r="A579" t="s">
        <v>3538</v>
      </c>
      <c r="B579" t="s">
        <v>74</v>
      </c>
      <c r="C579" t="s">
        <v>76</v>
      </c>
      <c r="D579" t="s">
        <v>76</v>
      </c>
      <c r="E579" t="s">
        <v>3539</v>
      </c>
      <c r="F579" t="s">
        <v>3049</v>
      </c>
      <c r="G579" t="s">
        <v>3529</v>
      </c>
      <c r="H579" t="s">
        <v>3872</v>
      </c>
      <c r="I579" t="s">
        <v>3540</v>
      </c>
      <c r="J579">
        <v>3584.96</v>
      </c>
      <c r="K579">
        <v>6529.36</v>
      </c>
      <c r="L579">
        <v>7508.76</v>
      </c>
      <c r="M579" t="s">
        <v>3536</v>
      </c>
      <c r="N579" t="s">
        <v>19</v>
      </c>
      <c r="O579" t="s">
        <v>19</v>
      </c>
      <c r="P579" t="s">
        <v>3537</v>
      </c>
      <c r="Q579">
        <v>2</v>
      </c>
      <c r="R579" t="s">
        <v>3878</v>
      </c>
    </row>
    <row r="580" spans="1:18" x14ac:dyDescent="0.2">
      <c r="A580" t="s">
        <v>3543</v>
      </c>
      <c r="B580" t="s">
        <v>2285</v>
      </c>
      <c r="C580" t="s">
        <v>2287</v>
      </c>
      <c r="D580" t="s">
        <v>2288</v>
      </c>
      <c r="E580" t="s">
        <v>2289</v>
      </c>
      <c r="F580" t="s">
        <v>3038</v>
      </c>
      <c r="G580" t="s">
        <v>3522</v>
      </c>
      <c r="H580" t="s">
        <v>3872</v>
      </c>
      <c r="I580" t="s">
        <v>2286</v>
      </c>
      <c r="J580">
        <v>4619</v>
      </c>
      <c r="K580">
        <v>3584.96</v>
      </c>
      <c r="L580">
        <v>4122.7</v>
      </c>
      <c r="M580" t="s">
        <v>3541</v>
      </c>
      <c r="N580" t="s">
        <v>19</v>
      </c>
      <c r="O580" t="s">
        <v>19</v>
      </c>
      <c r="P580" t="s">
        <v>3542</v>
      </c>
      <c r="Q580">
        <v>0</v>
      </c>
      <c r="R580" t="s">
        <v>3876</v>
      </c>
    </row>
    <row r="581" spans="1:18" x14ac:dyDescent="0.2">
      <c r="A581" t="s">
        <v>3546</v>
      </c>
      <c r="B581" t="s">
        <v>1323</v>
      </c>
      <c r="C581" t="s">
        <v>1258</v>
      </c>
      <c r="D581" t="s">
        <v>1324</v>
      </c>
      <c r="E581" t="s">
        <v>14</v>
      </c>
      <c r="F581" t="s">
        <v>3547</v>
      </c>
      <c r="G581" t="s">
        <v>3548</v>
      </c>
      <c r="H581" s="2" t="s">
        <v>3871</v>
      </c>
      <c r="I581" t="s">
        <v>3549</v>
      </c>
      <c r="J581">
        <v>260206.94</v>
      </c>
      <c r="K581">
        <v>4619</v>
      </c>
      <c r="L581">
        <v>5311.85</v>
      </c>
      <c r="M581" t="s">
        <v>3544</v>
      </c>
      <c r="N581" t="s">
        <v>19</v>
      </c>
      <c r="O581" t="s">
        <v>19</v>
      </c>
      <c r="P581" t="s">
        <v>3545</v>
      </c>
      <c r="Q581">
        <v>20</v>
      </c>
      <c r="R581" t="s">
        <v>3876</v>
      </c>
    </row>
    <row r="582" spans="1:18" x14ac:dyDescent="0.2">
      <c r="A582" t="s">
        <v>3552</v>
      </c>
      <c r="B582" t="s">
        <v>104</v>
      </c>
      <c r="C582" t="s">
        <v>3553</v>
      </c>
      <c r="D582" t="s">
        <v>3554</v>
      </c>
      <c r="E582" t="s">
        <v>3555</v>
      </c>
      <c r="F582" t="s">
        <v>3547</v>
      </c>
      <c r="G582" t="s">
        <v>3548</v>
      </c>
      <c r="H582" t="s">
        <v>3872</v>
      </c>
      <c r="I582" t="s">
        <v>3556</v>
      </c>
      <c r="J582">
        <v>69299.929999999993</v>
      </c>
      <c r="K582">
        <v>260206.94</v>
      </c>
      <c r="L582">
        <v>299237.98</v>
      </c>
      <c r="M582" t="s">
        <v>3550</v>
      </c>
      <c r="N582" t="s">
        <v>18</v>
      </c>
      <c r="O582" t="s">
        <v>18</v>
      </c>
      <c r="P582" t="s">
        <v>3551</v>
      </c>
      <c r="Q582">
        <v>7</v>
      </c>
      <c r="R582" t="s">
        <v>3876</v>
      </c>
    </row>
    <row r="583" spans="1:18" x14ac:dyDescent="0.2">
      <c r="A583" t="s">
        <v>3559</v>
      </c>
      <c r="B583" t="s">
        <v>3560</v>
      </c>
      <c r="C583" t="s">
        <v>3561</v>
      </c>
      <c r="D583" t="s">
        <v>3562</v>
      </c>
      <c r="E583" t="s">
        <v>3563</v>
      </c>
      <c r="F583" t="s">
        <v>3547</v>
      </c>
      <c r="G583" t="s">
        <v>3548</v>
      </c>
      <c r="H583" t="s">
        <v>3872</v>
      </c>
      <c r="I583" t="s">
        <v>3564</v>
      </c>
      <c r="J583">
        <v>15378.22</v>
      </c>
      <c r="K583">
        <v>69299.929999999993</v>
      </c>
      <c r="L583">
        <v>79694.929999999993</v>
      </c>
      <c r="M583" t="s">
        <v>3557</v>
      </c>
      <c r="N583" t="s">
        <v>145</v>
      </c>
      <c r="O583" t="s">
        <v>145</v>
      </c>
      <c r="P583" t="s">
        <v>3558</v>
      </c>
      <c r="Q583">
        <v>2</v>
      </c>
      <c r="R583" t="s">
        <v>3878</v>
      </c>
    </row>
    <row r="584" spans="1:18" x14ac:dyDescent="0.2">
      <c r="A584" t="s">
        <v>3567</v>
      </c>
      <c r="B584" t="s">
        <v>3568</v>
      </c>
      <c r="C584" t="s">
        <v>3569</v>
      </c>
      <c r="D584" t="s">
        <v>3570</v>
      </c>
      <c r="E584" t="s">
        <v>3571</v>
      </c>
      <c r="F584" t="s">
        <v>3049</v>
      </c>
      <c r="G584" t="s">
        <v>3529</v>
      </c>
      <c r="H584" s="2" t="s">
        <v>3871</v>
      </c>
      <c r="I584" t="s">
        <v>3572</v>
      </c>
      <c r="J584">
        <v>2035.29</v>
      </c>
      <c r="K584">
        <v>15378.22</v>
      </c>
      <c r="L584">
        <v>17684.96</v>
      </c>
      <c r="M584" t="s">
        <v>3565</v>
      </c>
      <c r="N584" t="s">
        <v>145</v>
      </c>
      <c r="O584" t="s">
        <v>145</v>
      </c>
      <c r="P584" t="s">
        <v>3566</v>
      </c>
      <c r="Q584">
        <v>1</v>
      </c>
      <c r="R584" t="s">
        <v>3878</v>
      </c>
    </row>
    <row r="585" spans="1:18" x14ac:dyDescent="0.2">
      <c r="A585" t="s">
        <v>3575</v>
      </c>
      <c r="B585" t="s">
        <v>3576</v>
      </c>
      <c r="C585" t="s">
        <v>3577</v>
      </c>
      <c r="D585" t="s">
        <v>3577</v>
      </c>
      <c r="E585" t="s">
        <v>3578</v>
      </c>
      <c r="F585" t="s">
        <v>3049</v>
      </c>
      <c r="G585" t="s">
        <v>3529</v>
      </c>
      <c r="H585" t="s">
        <v>3872</v>
      </c>
      <c r="I585" t="s">
        <v>3579</v>
      </c>
      <c r="J585">
        <v>20297.509999999998</v>
      </c>
      <c r="K585">
        <v>2035.29</v>
      </c>
      <c r="L585">
        <v>2340.58</v>
      </c>
      <c r="M585" t="s">
        <v>3573</v>
      </c>
      <c r="N585" t="s">
        <v>19</v>
      </c>
      <c r="O585" t="s">
        <v>772</v>
      </c>
      <c r="P585" t="s">
        <v>3574</v>
      </c>
      <c r="Q585">
        <v>2</v>
      </c>
      <c r="R585" t="s">
        <v>3878</v>
      </c>
    </row>
    <row r="586" spans="1:18" x14ac:dyDescent="0.2">
      <c r="A586" t="s">
        <v>3582</v>
      </c>
      <c r="B586" t="s">
        <v>3583</v>
      </c>
      <c r="C586" t="s">
        <v>3584</v>
      </c>
      <c r="D586" t="s">
        <v>3585</v>
      </c>
      <c r="E586" t="s">
        <v>3586</v>
      </c>
      <c r="F586" t="s">
        <v>3120</v>
      </c>
      <c r="G586" t="s">
        <v>3587</v>
      </c>
      <c r="H586" t="s">
        <v>3872</v>
      </c>
      <c r="I586" t="s">
        <v>3588</v>
      </c>
      <c r="J586">
        <v>94199.19</v>
      </c>
      <c r="K586">
        <v>20297.509999999998</v>
      </c>
      <c r="L586">
        <v>23342.13</v>
      </c>
      <c r="M586" t="s">
        <v>3580</v>
      </c>
      <c r="N586" t="s">
        <v>19</v>
      </c>
      <c r="O586" t="s">
        <v>19</v>
      </c>
      <c r="P586" t="s">
        <v>3581</v>
      </c>
      <c r="Q586">
        <v>19</v>
      </c>
      <c r="R586" t="s">
        <v>3876</v>
      </c>
    </row>
    <row r="587" spans="1:18" x14ac:dyDescent="0.2">
      <c r="A587" t="s">
        <v>3591</v>
      </c>
      <c r="B587" t="s">
        <v>3583</v>
      </c>
      <c r="C587" t="s">
        <v>3584</v>
      </c>
      <c r="D587" t="s">
        <v>3585</v>
      </c>
      <c r="E587" t="s">
        <v>3592</v>
      </c>
      <c r="F587" t="s">
        <v>3120</v>
      </c>
      <c r="G587" t="s">
        <v>3587</v>
      </c>
      <c r="H587" t="s">
        <v>3872</v>
      </c>
      <c r="I587" t="s">
        <v>3588</v>
      </c>
      <c r="J587">
        <v>96326.33</v>
      </c>
      <c r="K587">
        <v>94199.19</v>
      </c>
      <c r="L587">
        <v>108329.07</v>
      </c>
      <c r="M587" t="s">
        <v>3589</v>
      </c>
      <c r="N587" t="s">
        <v>19</v>
      </c>
      <c r="O587" t="s">
        <v>19</v>
      </c>
      <c r="P587" t="s">
        <v>3590</v>
      </c>
      <c r="Q587">
        <v>19</v>
      </c>
      <c r="R587" t="s">
        <v>3879</v>
      </c>
    </row>
    <row r="588" spans="1:18" x14ac:dyDescent="0.2">
      <c r="A588" t="s">
        <v>3595</v>
      </c>
      <c r="B588" t="s">
        <v>2541</v>
      </c>
      <c r="C588" t="s">
        <v>3596</v>
      </c>
      <c r="D588" t="s">
        <v>3596</v>
      </c>
      <c r="E588" t="s">
        <v>3597</v>
      </c>
      <c r="F588" t="s">
        <v>3120</v>
      </c>
      <c r="G588" t="s">
        <v>3587</v>
      </c>
      <c r="H588" t="s">
        <v>3872</v>
      </c>
      <c r="I588" t="s">
        <v>3598</v>
      </c>
      <c r="J588">
        <v>133277.95000000001</v>
      </c>
      <c r="K588">
        <v>96326.33</v>
      </c>
      <c r="L588">
        <v>110775.29</v>
      </c>
      <c r="M588" t="s">
        <v>3593</v>
      </c>
      <c r="N588" t="s">
        <v>19</v>
      </c>
      <c r="O588" t="s">
        <v>19</v>
      </c>
      <c r="P588" t="s">
        <v>3594</v>
      </c>
      <c r="Q588">
        <v>13</v>
      </c>
      <c r="R588" t="s">
        <v>3876</v>
      </c>
    </row>
    <row r="589" spans="1:18" x14ac:dyDescent="0.2">
      <c r="A589" t="s">
        <v>3601</v>
      </c>
      <c r="B589" t="s">
        <v>2068</v>
      </c>
      <c r="C589" t="s">
        <v>14</v>
      </c>
      <c r="D589" t="s">
        <v>14</v>
      </c>
      <c r="E589" t="s">
        <v>3602</v>
      </c>
      <c r="F589" t="s">
        <v>3120</v>
      </c>
      <c r="G589" t="s">
        <v>3587</v>
      </c>
      <c r="H589" t="s">
        <v>3872</v>
      </c>
      <c r="I589" t="s">
        <v>3026</v>
      </c>
      <c r="J589">
        <v>59833.84</v>
      </c>
      <c r="K589">
        <v>133277.95000000001</v>
      </c>
      <c r="L589">
        <v>153269.67000000001</v>
      </c>
      <c r="M589" t="s">
        <v>3599</v>
      </c>
      <c r="N589" t="s">
        <v>19</v>
      </c>
      <c r="O589" t="s">
        <v>3022</v>
      </c>
      <c r="P589" t="s">
        <v>3600</v>
      </c>
      <c r="Q589">
        <v>8</v>
      </c>
      <c r="R589" t="s">
        <v>3876</v>
      </c>
    </row>
    <row r="590" spans="1:18" x14ac:dyDescent="0.2">
      <c r="A590" t="s">
        <v>3605</v>
      </c>
      <c r="B590" t="s">
        <v>481</v>
      </c>
      <c r="C590" t="s">
        <v>483</v>
      </c>
      <c r="D590" t="s">
        <v>483</v>
      </c>
      <c r="E590" t="s">
        <v>3606</v>
      </c>
      <c r="F590" t="s">
        <v>3160</v>
      </c>
      <c r="G590" t="s">
        <v>3266</v>
      </c>
      <c r="H590" t="s">
        <v>3872</v>
      </c>
      <c r="I590" t="s">
        <v>2717</v>
      </c>
      <c r="J590">
        <v>2129</v>
      </c>
      <c r="K590">
        <v>59833.84</v>
      </c>
      <c r="L590">
        <v>68808.92</v>
      </c>
      <c r="M590" t="s">
        <v>3603</v>
      </c>
      <c r="N590" t="s">
        <v>19</v>
      </c>
      <c r="O590" t="s">
        <v>19</v>
      </c>
      <c r="P590" t="s">
        <v>3604</v>
      </c>
      <c r="Q590">
        <v>0</v>
      </c>
      <c r="R590" t="s">
        <v>3876</v>
      </c>
    </row>
    <row r="591" spans="1:18" x14ac:dyDescent="0.2">
      <c r="A591" t="s">
        <v>3609</v>
      </c>
      <c r="B591" t="s">
        <v>111</v>
      </c>
      <c r="C591" t="s">
        <v>113</v>
      </c>
      <c r="D591" t="s">
        <v>114</v>
      </c>
      <c r="E591" t="s">
        <v>3610</v>
      </c>
      <c r="F591" t="s">
        <v>2722</v>
      </c>
      <c r="G591" t="s">
        <v>3611</v>
      </c>
      <c r="H591" t="s">
        <v>3872</v>
      </c>
      <c r="I591" t="s">
        <v>3612</v>
      </c>
      <c r="J591">
        <v>8395.8700000000008</v>
      </c>
      <c r="K591">
        <v>2129</v>
      </c>
      <c r="L591">
        <v>2448.35</v>
      </c>
      <c r="M591" t="s">
        <v>3607</v>
      </c>
      <c r="N591" t="s">
        <v>19</v>
      </c>
      <c r="O591" t="s">
        <v>19</v>
      </c>
      <c r="P591" t="s">
        <v>3608</v>
      </c>
      <c r="Q591">
        <v>0</v>
      </c>
      <c r="R591" t="s">
        <v>3880</v>
      </c>
    </row>
    <row r="592" spans="1:18" x14ac:dyDescent="0.2">
      <c r="A592" t="s">
        <v>3615</v>
      </c>
      <c r="B592" t="s">
        <v>3616</v>
      </c>
      <c r="C592" t="s">
        <v>1853</v>
      </c>
      <c r="D592" t="s">
        <v>3617</v>
      </c>
      <c r="E592" t="s">
        <v>3618</v>
      </c>
      <c r="F592" t="s">
        <v>3619</v>
      </c>
      <c r="G592" t="s">
        <v>3620</v>
      </c>
      <c r="H592" t="s">
        <v>3872</v>
      </c>
      <c r="I592" t="s">
        <v>3621</v>
      </c>
      <c r="J592">
        <v>26060.11</v>
      </c>
      <c r="K592">
        <v>8395.8700000000008</v>
      </c>
      <c r="L592">
        <v>9655.26</v>
      </c>
      <c r="M592" t="s">
        <v>3613</v>
      </c>
      <c r="N592" t="s">
        <v>19</v>
      </c>
      <c r="O592" t="s">
        <v>15</v>
      </c>
      <c r="P592" t="s">
        <v>3614</v>
      </c>
      <c r="Q592">
        <v>2</v>
      </c>
      <c r="R592" t="s">
        <v>3876</v>
      </c>
    </row>
    <row r="593" spans="1:18" x14ac:dyDescent="0.2">
      <c r="A593" t="s">
        <v>3624</v>
      </c>
      <c r="B593" t="s">
        <v>1037</v>
      </c>
      <c r="C593" t="s">
        <v>3625</v>
      </c>
      <c r="D593" t="s">
        <v>3625</v>
      </c>
      <c r="E593" t="s">
        <v>3626</v>
      </c>
      <c r="F593" t="s">
        <v>3619</v>
      </c>
      <c r="G593" t="s">
        <v>3620</v>
      </c>
      <c r="H593" t="s">
        <v>3872</v>
      </c>
      <c r="I593" t="s">
        <v>3627</v>
      </c>
      <c r="J593">
        <v>5721.23</v>
      </c>
      <c r="K593">
        <v>26060.11</v>
      </c>
      <c r="L593">
        <v>29969.14</v>
      </c>
      <c r="M593" t="s">
        <v>3622</v>
      </c>
      <c r="N593" t="s">
        <v>19</v>
      </c>
      <c r="O593" t="s">
        <v>19</v>
      </c>
      <c r="P593" t="s">
        <v>3623</v>
      </c>
      <c r="Q593">
        <v>0</v>
      </c>
      <c r="R593" t="s">
        <v>3876</v>
      </c>
    </row>
    <row r="594" spans="1:18" x14ac:dyDescent="0.2">
      <c r="A594" t="s">
        <v>3630</v>
      </c>
      <c r="B594" t="s">
        <v>3631</v>
      </c>
      <c r="C594" t="s">
        <v>3632</v>
      </c>
      <c r="D594" t="s">
        <v>3632</v>
      </c>
      <c r="E594" t="s">
        <v>3633</v>
      </c>
      <c r="F594" t="s">
        <v>3619</v>
      </c>
      <c r="G594" t="s">
        <v>3620</v>
      </c>
      <c r="H594" t="s">
        <v>3872</v>
      </c>
      <c r="I594" t="s">
        <v>3634</v>
      </c>
      <c r="J594">
        <v>5660</v>
      </c>
      <c r="K594">
        <v>5721.23</v>
      </c>
      <c r="L594">
        <v>6579.42</v>
      </c>
      <c r="M594" t="s">
        <v>3628</v>
      </c>
      <c r="N594" t="s">
        <v>15</v>
      </c>
      <c r="O594" t="s">
        <v>18</v>
      </c>
      <c r="P594" t="s">
        <v>3629</v>
      </c>
      <c r="Q594">
        <v>0</v>
      </c>
      <c r="R594" t="s">
        <v>3876</v>
      </c>
    </row>
    <row r="595" spans="1:18" x14ac:dyDescent="0.2">
      <c r="A595" t="s">
        <v>3637</v>
      </c>
      <c r="B595" t="s">
        <v>3638</v>
      </c>
      <c r="C595" t="s">
        <v>3639</v>
      </c>
      <c r="D595" t="s">
        <v>3639</v>
      </c>
      <c r="E595" t="s">
        <v>3640</v>
      </c>
      <c r="F595" t="s">
        <v>3619</v>
      </c>
      <c r="G595" t="s">
        <v>3620</v>
      </c>
      <c r="H595" t="s">
        <v>3872</v>
      </c>
      <c r="I595" t="s">
        <v>3641</v>
      </c>
      <c r="J595">
        <v>7990</v>
      </c>
      <c r="K595">
        <v>5660</v>
      </c>
      <c r="L595">
        <v>6509</v>
      </c>
      <c r="M595" t="s">
        <v>3635</v>
      </c>
      <c r="N595" t="s">
        <v>15</v>
      </c>
      <c r="O595" t="s">
        <v>18</v>
      </c>
      <c r="P595" t="s">
        <v>3636</v>
      </c>
      <c r="Q595">
        <v>0</v>
      </c>
      <c r="R595" t="s">
        <v>3876</v>
      </c>
    </row>
    <row r="596" spans="1:18" x14ac:dyDescent="0.2">
      <c r="A596" t="s">
        <v>3644</v>
      </c>
      <c r="B596" t="s">
        <v>1037</v>
      </c>
      <c r="C596" t="s">
        <v>3645</v>
      </c>
      <c r="D596" t="s">
        <v>3645</v>
      </c>
      <c r="E596" t="s">
        <v>3646</v>
      </c>
      <c r="F596" t="s">
        <v>3619</v>
      </c>
      <c r="G596" t="s">
        <v>3620</v>
      </c>
      <c r="H596" t="s">
        <v>3872</v>
      </c>
      <c r="I596" t="s">
        <v>3647</v>
      </c>
      <c r="J596">
        <v>6972.39</v>
      </c>
      <c r="K596">
        <v>7990</v>
      </c>
      <c r="L596">
        <v>9188.51</v>
      </c>
      <c r="M596" t="s">
        <v>3642</v>
      </c>
      <c r="N596" t="s">
        <v>15</v>
      </c>
      <c r="O596" t="s">
        <v>18</v>
      </c>
      <c r="P596" t="s">
        <v>3643</v>
      </c>
      <c r="Q596">
        <v>0</v>
      </c>
      <c r="R596" t="s">
        <v>3876</v>
      </c>
    </row>
    <row r="597" spans="1:18" x14ac:dyDescent="0.2">
      <c r="A597" t="s">
        <v>3650</v>
      </c>
      <c r="B597" t="s">
        <v>2102</v>
      </c>
      <c r="C597" t="s">
        <v>2103</v>
      </c>
      <c r="D597" t="s">
        <v>2103</v>
      </c>
      <c r="E597" t="s">
        <v>2104</v>
      </c>
      <c r="F597" t="s">
        <v>3481</v>
      </c>
      <c r="G597" t="s">
        <v>3482</v>
      </c>
      <c r="H597" t="s">
        <v>3872</v>
      </c>
      <c r="I597" t="s">
        <v>2105</v>
      </c>
      <c r="J597">
        <v>26400.25</v>
      </c>
      <c r="K597">
        <v>6972.39</v>
      </c>
      <c r="L597">
        <v>8018.26</v>
      </c>
      <c r="M597" t="s">
        <v>3648</v>
      </c>
      <c r="N597" t="s">
        <v>15</v>
      </c>
      <c r="O597" t="s">
        <v>18</v>
      </c>
      <c r="P597" t="s">
        <v>3649</v>
      </c>
      <c r="Q597">
        <v>2</v>
      </c>
      <c r="R597" t="s">
        <v>3878</v>
      </c>
    </row>
    <row r="598" spans="1:18" x14ac:dyDescent="0.2">
      <c r="A598" t="s">
        <v>3653</v>
      </c>
      <c r="B598" t="s">
        <v>3654</v>
      </c>
      <c r="C598" t="s">
        <v>3654</v>
      </c>
      <c r="D598" t="s">
        <v>3654</v>
      </c>
      <c r="E598" t="s">
        <v>3655</v>
      </c>
      <c r="F598" t="s">
        <v>3481</v>
      </c>
      <c r="G598" t="s">
        <v>3482</v>
      </c>
      <c r="H598" t="s">
        <v>3872</v>
      </c>
      <c r="I598" t="s">
        <v>3656</v>
      </c>
      <c r="J598">
        <v>5408.78</v>
      </c>
      <c r="K598">
        <v>26400.25</v>
      </c>
      <c r="L598">
        <v>30360.29</v>
      </c>
      <c r="M598" t="s">
        <v>3651</v>
      </c>
      <c r="N598" t="s">
        <v>19</v>
      </c>
      <c r="O598" t="s">
        <v>772</v>
      </c>
      <c r="P598" t="s">
        <v>3652</v>
      </c>
      <c r="Q598">
        <v>1</v>
      </c>
      <c r="R598" t="s">
        <v>3876</v>
      </c>
    </row>
    <row r="599" spans="1:18" x14ac:dyDescent="0.2">
      <c r="A599" t="s">
        <v>3659</v>
      </c>
      <c r="B599" t="s">
        <v>1021</v>
      </c>
      <c r="C599" t="s">
        <v>1023</v>
      </c>
      <c r="D599" t="s">
        <v>1023</v>
      </c>
      <c r="E599" t="s">
        <v>3660</v>
      </c>
      <c r="F599" t="s">
        <v>3115</v>
      </c>
      <c r="G599" t="s">
        <v>3661</v>
      </c>
      <c r="H599" t="s">
        <v>3872</v>
      </c>
      <c r="I599" t="s">
        <v>3662</v>
      </c>
      <c r="J599">
        <v>3350</v>
      </c>
      <c r="K599">
        <v>5408.78</v>
      </c>
      <c r="L599">
        <v>6220.1</v>
      </c>
      <c r="M599" t="s">
        <v>3657</v>
      </c>
      <c r="N599" t="s">
        <v>19</v>
      </c>
      <c r="O599" t="s">
        <v>772</v>
      </c>
      <c r="P599" t="s">
        <v>3658</v>
      </c>
      <c r="Q599">
        <v>0</v>
      </c>
      <c r="R599" t="s">
        <v>3878</v>
      </c>
    </row>
    <row r="600" spans="1:18" x14ac:dyDescent="0.2">
      <c r="A600" t="s">
        <v>3665</v>
      </c>
      <c r="B600" t="s">
        <v>3666</v>
      </c>
      <c r="C600" t="s">
        <v>14</v>
      </c>
      <c r="D600" t="s">
        <v>14</v>
      </c>
      <c r="E600" t="s">
        <v>3667</v>
      </c>
      <c r="F600" t="s">
        <v>3481</v>
      </c>
      <c r="G600" t="s">
        <v>3482</v>
      </c>
      <c r="H600" t="s">
        <v>3872</v>
      </c>
      <c r="I600" t="s">
        <v>3668</v>
      </c>
      <c r="J600">
        <v>24743.16</v>
      </c>
      <c r="K600">
        <v>3350</v>
      </c>
      <c r="L600">
        <v>3852.5</v>
      </c>
      <c r="M600" t="s">
        <v>3663</v>
      </c>
      <c r="N600" t="s">
        <v>19</v>
      </c>
      <c r="O600" t="s">
        <v>19</v>
      </c>
      <c r="P600" t="s">
        <v>3664</v>
      </c>
      <c r="Q600">
        <v>4</v>
      </c>
      <c r="R600" t="s">
        <v>3876</v>
      </c>
    </row>
    <row r="601" spans="1:18" x14ac:dyDescent="0.2">
      <c r="A601" t="s">
        <v>3671</v>
      </c>
      <c r="B601" t="s">
        <v>330</v>
      </c>
      <c r="C601" t="s">
        <v>3672</v>
      </c>
      <c r="D601" t="s">
        <v>3672</v>
      </c>
      <c r="E601" t="s">
        <v>3673</v>
      </c>
      <c r="F601" t="s">
        <v>3481</v>
      </c>
      <c r="G601" t="s">
        <v>3482</v>
      </c>
      <c r="H601" t="s">
        <v>3872</v>
      </c>
      <c r="I601" t="s">
        <v>3674</v>
      </c>
      <c r="J601">
        <v>733599.86</v>
      </c>
      <c r="K601">
        <v>24743.16</v>
      </c>
      <c r="L601">
        <v>28454.639999999999</v>
      </c>
      <c r="M601" t="s">
        <v>3669</v>
      </c>
      <c r="N601" t="s">
        <v>19</v>
      </c>
      <c r="O601" t="s">
        <v>19</v>
      </c>
      <c r="P601" t="s">
        <v>3670</v>
      </c>
      <c r="Q601">
        <v>156</v>
      </c>
      <c r="R601" t="s">
        <v>3876</v>
      </c>
    </row>
    <row r="602" spans="1:18" x14ac:dyDescent="0.2">
      <c r="A602" t="s">
        <v>3677</v>
      </c>
      <c r="B602" t="s">
        <v>2681</v>
      </c>
      <c r="C602" t="s">
        <v>3678</v>
      </c>
      <c r="D602" t="s">
        <v>3678</v>
      </c>
      <c r="E602" t="s">
        <v>3679</v>
      </c>
      <c r="F602" t="s">
        <v>3115</v>
      </c>
      <c r="G602" t="s">
        <v>3661</v>
      </c>
      <c r="H602" t="s">
        <v>3872</v>
      </c>
      <c r="I602" t="s">
        <v>3680</v>
      </c>
      <c r="J602">
        <v>229316.96</v>
      </c>
      <c r="K602">
        <v>733599.86</v>
      </c>
      <c r="L602">
        <v>843639.86</v>
      </c>
      <c r="M602" t="s">
        <v>3675</v>
      </c>
      <c r="N602" t="s">
        <v>19</v>
      </c>
      <c r="O602" t="s">
        <v>15</v>
      </c>
      <c r="P602" t="s">
        <v>3676</v>
      </c>
      <c r="Q602">
        <v>37</v>
      </c>
      <c r="R602" t="s">
        <v>3876</v>
      </c>
    </row>
    <row r="603" spans="1:18" x14ac:dyDescent="0.2">
      <c r="A603" t="s">
        <v>3683</v>
      </c>
      <c r="B603" t="s">
        <v>3583</v>
      </c>
      <c r="C603" t="s">
        <v>3584</v>
      </c>
      <c r="D603" t="s">
        <v>3585</v>
      </c>
      <c r="E603" t="s">
        <v>3684</v>
      </c>
      <c r="F603" t="s">
        <v>3115</v>
      </c>
      <c r="G603" t="s">
        <v>3661</v>
      </c>
      <c r="H603" t="s">
        <v>3872</v>
      </c>
      <c r="I603" t="s">
        <v>3588</v>
      </c>
      <c r="J603">
        <v>64452.08</v>
      </c>
      <c r="K603">
        <v>229316.96</v>
      </c>
      <c r="L603">
        <v>263714.52</v>
      </c>
      <c r="M603" t="s">
        <v>3681</v>
      </c>
      <c r="N603" t="s">
        <v>19</v>
      </c>
      <c r="O603" t="s">
        <v>15</v>
      </c>
      <c r="P603" t="s">
        <v>3682</v>
      </c>
      <c r="Q603">
        <v>13</v>
      </c>
      <c r="R603" t="s">
        <v>3876</v>
      </c>
    </row>
    <row r="604" spans="1:18" x14ac:dyDescent="0.2">
      <c r="A604" t="s">
        <v>3687</v>
      </c>
      <c r="B604" t="s">
        <v>3688</v>
      </c>
      <c r="C604" t="s">
        <v>3689</v>
      </c>
      <c r="D604" t="s">
        <v>3690</v>
      </c>
      <c r="E604" t="s">
        <v>3691</v>
      </c>
      <c r="F604" t="s">
        <v>3272</v>
      </c>
      <c r="G604" t="s">
        <v>3692</v>
      </c>
      <c r="H604" t="s">
        <v>3872</v>
      </c>
      <c r="I604" t="s">
        <v>3693</v>
      </c>
      <c r="J604">
        <v>138672.35999999999</v>
      </c>
      <c r="K604">
        <v>64452.08</v>
      </c>
      <c r="L604">
        <v>74119.899999999994</v>
      </c>
      <c r="M604" t="s">
        <v>3685</v>
      </c>
      <c r="N604" t="s">
        <v>19</v>
      </c>
      <c r="O604" t="s">
        <v>19</v>
      </c>
      <c r="P604" t="s">
        <v>3686</v>
      </c>
      <c r="Q604">
        <v>24</v>
      </c>
      <c r="R604" t="s">
        <v>3876</v>
      </c>
    </row>
    <row r="605" spans="1:18" x14ac:dyDescent="0.2">
      <c r="A605" t="s">
        <v>3696</v>
      </c>
      <c r="B605" t="s">
        <v>198</v>
      </c>
      <c r="C605" t="s">
        <v>1492</v>
      </c>
      <c r="D605" t="s">
        <v>1492</v>
      </c>
      <c r="E605" t="s">
        <v>3697</v>
      </c>
      <c r="F605" t="s">
        <v>3272</v>
      </c>
      <c r="G605" t="s">
        <v>3692</v>
      </c>
      <c r="H605" t="s">
        <v>3872</v>
      </c>
      <c r="I605" t="s">
        <v>1493</v>
      </c>
      <c r="J605">
        <v>26688</v>
      </c>
      <c r="K605">
        <v>138672.35999999999</v>
      </c>
      <c r="L605">
        <v>159473.21</v>
      </c>
      <c r="M605" t="s">
        <v>3694</v>
      </c>
      <c r="N605" t="s">
        <v>19</v>
      </c>
      <c r="O605" t="s">
        <v>145</v>
      </c>
      <c r="P605" t="s">
        <v>3695</v>
      </c>
      <c r="Q605">
        <v>0</v>
      </c>
      <c r="R605" t="s">
        <v>3878</v>
      </c>
    </row>
    <row r="606" spans="1:18" x14ac:dyDescent="0.2">
      <c r="A606" t="s">
        <v>3700</v>
      </c>
      <c r="B606" t="s">
        <v>330</v>
      </c>
      <c r="C606" t="s">
        <v>3701</v>
      </c>
      <c r="D606" t="s">
        <v>3701</v>
      </c>
      <c r="E606" t="s">
        <v>3702</v>
      </c>
      <c r="F606" t="s">
        <v>3272</v>
      </c>
      <c r="G606" t="s">
        <v>3692</v>
      </c>
      <c r="H606" t="s">
        <v>3872</v>
      </c>
      <c r="I606" t="s">
        <v>3703</v>
      </c>
      <c r="J606">
        <v>13805.64</v>
      </c>
      <c r="K606">
        <v>26688</v>
      </c>
      <c r="L606">
        <v>30691.200000000001</v>
      </c>
      <c r="M606" t="s">
        <v>3698</v>
      </c>
      <c r="N606" t="s">
        <v>19</v>
      </c>
      <c r="O606" t="s">
        <v>19</v>
      </c>
      <c r="P606" t="s">
        <v>3699</v>
      </c>
      <c r="Q606">
        <v>3</v>
      </c>
      <c r="R606" t="s">
        <v>3880</v>
      </c>
    </row>
    <row r="607" spans="1:18" x14ac:dyDescent="0.2">
      <c r="A607" t="s">
        <v>3706</v>
      </c>
      <c r="B607" t="s">
        <v>3707</v>
      </c>
      <c r="C607" t="s">
        <v>3707</v>
      </c>
      <c r="D607" t="s">
        <v>3708</v>
      </c>
      <c r="E607" t="s">
        <v>3709</v>
      </c>
      <c r="F607" t="s">
        <v>3272</v>
      </c>
      <c r="G607" t="s">
        <v>3692</v>
      </c>
      <c r="H607" s="2" t="s">
        <v>3871</v>
      </c>
      <c r="I607" t="s">
        <v>3710</v>
      </c>
      <c r="J607">
        <v>6529.36</v>
      </c>
      <c r="K607">
        <v>13805.64</v>
      </c>
      <c r="L607">
        <v>15876.49</v>
      </c>
      <c r="M607" t="s">
        <v>3704</v>
      </c>
      <c r="N607" t="s">
        <v>19</v>
      </c>
      <c r="O607" t="s">
        <v>15</v>
      </c>
      <c r="P607" t="s">
        <v>3705</v>
      </c>
      <c r="Q607">
        <v>1</v>
      </c>
      <c r="R607" t="s">
        <v>3876</v>
      </c>
    </row>
    <row r="608" spans="1:18" x14ac:dyDescent="0.2">
      <c r="A608" t="s">
        <v>3713</v>
      </c>
      <c r="B608" t="s">
        <v>3714</v>
      </c>
      <c r="C608" t="s">
        <v>1853</v>
      </c>
      <c r="D608" t="s">
        <v>3715</v>
      </c>
      <c r="E608" t="s">
        <v>3716</v>
      </c>
      <c r="F608" t="s">
        <v>3272</v>
      </c>
      <c r="G608" t="s">
        <v>3692</v>
      </c>
      <c r="H608" s="2" t="s">
        <v>3871</v>
      </c>
      <c r="I608" t="s">
        <v>3717</v>
      </c>
      <c r="J608">
        <v>18001.89</v>
      </c>
      <c r="K608">
        <v>6529.36</v>
      </c>
      <c r="L608">
        <v>7508.76</v>
      </c>
      <c r="M608" t="s">
        <v>3711</v>
      </c>
      <c r="N608" t="s">
        <v>19</v>
      </c>
      <c r="O608" t="s">
        <v>19</v>
      </c>
      <c r="P608" t="s">
        <v>3712</v>
      </c>
      <c r="Q608">
        <v>7</v>
      </c>
      <c r="R608" t="s">
        <v>3878</v>
      </c>
    </row>
    <row r="609" spans="1:18" x14ac:dyDescent="0.2">
      <c r="A609" t="s">
        <v>3720</v>
      </c>
      <c r="B609" t="s">
        <v>3093</v>
      </c>
      <c r="C609" t="s">
        <v>121</v>
      </c>
      <c r="D609" t="s">
        <v>3226</v>
      </c>
      <c r="E609" t="s">
        <v>3721</v>
      </c>
      <c r="F609" t="s">
        <v>3272</v>
      </c>
      <c r="G609" t="s">
        <v>3692</v>
      </c>
      <c r="H609" s="2" t="s">
        <v>3871</v>
      </c>
      <c r="I609" t="s">
        <v>3722</v>
      </c>
      <c r="J609">
        <v>640</v>
      </c>
      <c r="K609">
        <v>18001.89</v>
      </c>
      <c r="L609">
        <v>20702.169999999998</v>
      </c>
      <c r="M609" t="s">
        <v>3718</v>
      </c>
      <c r="N609" t="s">
        <v>19</v>
      </c>
      <c r="O609" t="s">
        <v>19</v>
      </c>
      <c r="P609" t="s">
        <v>3719</v>
      </c>
      <c r="Q609">
        <v>0</v>
      </c>
      <c r="R609" t="s">
        <v>3878</v>
      </c>
    </row>
    <row r="610" spans="1:18" x14ac:dyDescent="0.2">
      <c r="A610" t="s">
        <v>3725</v>
      </c>
      <c r="B610" t="s">
        <v>330</v>
      </c>
      <c r="C610" t="s">
        <v>390</v>
      </c>
      <c r="D610" t="s">
        <v>390</v>
      </c>
      <c r="E610" t="s">
        <v>3726</v>
      </c>
      <c r="F610" t="s">
        <v>3272</v>
      </c>
      <c r="G610" t="s">
        <v>3692</v>
      </c>
      <c r="H610" t="s">
        <v>3872</v>
      </c>
      <c r="I610" t="s">
        <v>391</v>
      </c>
      <c r="J610">
        <v>169476.26</v>
      </c>
      <c r="K610">
        <v>640</v>
      </c>
      <c r="L610">
        <v>736</v>
      </c>
      <c r="M610" t="s">
        <v>3723</v>
      </c>
      <c r="N610" t="s">
        <v>19</v>
      </c>
      <c r="O610" t="s">
        <v>19</v>
      </c>
      <c r="P610" t="s">
        <v>3724</v>
      </c>
      <c r="Q610">
        <v>33</v>
      </c>
      <c r="R610" t="s">
        <v>3876</v>
      </c>
    </row>
    <row r="611" spans="1:18" x14ac:dyDescent="0.2">
      <c r="A611" t="s">
        <v>3729</v>
      </c>
      <c r="B611" t="s">
        <v>330</v>
      </c>
      <c r="C611" t="s">
        <v>332</v>
      </c>
      <c r="D611" t="s">
        <v>332</v>
      </c>
      <c r="E611" t="s">
        <v>3730</v>
      </c>
      <c r="F611" t="s">
        <v>3272</v>
      </c>
      <c r="G611" t="s">
        <v>3692</v>
      </c>
      <c r="H611" t="s">
        <v>3872</v>
      </c>
      <c r="I611" t="s">
        <v>333</v>
      </c>
      <c r="J611">
        <v>87085.65</v>
      </c>
      <c r="K611">
        <v>169476.26</v>
      </c>
      <c r="L611">
        <v>194897.71</v>
      </c>
      <c r="M611" t="s">
        <v>3727</v>
      </c>
      <c r="N611" t="s">
        <v>19</v>
      </c>
      <c r="O611" t="s">
        <v>18</v>
      </c>
      <c r="P611" t="s">
        <v>3728</v>
      </c>
      <c r="Q611">
        <v>19</v>
      </c>
      <c r="R611" t="s">
        <v>3876</v>
      </c>
    </row>
    <row r="612" spans="1:18" x14ac:dyDescent="0.2">
      <c r="A612" t="s">
        <v>3733</v>
      </c>
      <c r="B612" t="s">
        <v>970</v>
      </c>
      <c r="C612" t="s">
        <v>3734</v>
      </c>
      <c r="D612" t="s">
        <v>3735</v>
      </c>
      <c r="E612" t="s">
        <v>3736</v>
      </c>
      <c r="F612" t="s">
        <v>3291</v>
      </c>
      <c r="G612" t="s">
        <v>3737</v>
      </c>
      <c r="H612" t="s">
        <v>3872</v>
      </c>
      <c r="I612" t="s">
        <v>3738</v>
      </c>
      <c r="J612">
        <v>485124.8</v>
      </c>
      <c r="K612">
        <v>87085.65</v>
      </c>
      <c r="L612">
        <v>100148.5</v>
      </c>
      <c r="M612" t="s">
        <v>3731</v>
      </c>
      <c r="N612" t="s">
        <v>19</v>
      </c>
      <c r="O612" t="s">
        <v>15</v>
      </c>
      <c r="P612" t="s">
        <v>3732</v>
      </c>
      <c r="Q612">
        <v>105</v>
      </c>
      <c r="R612" t="s">
        <v>3876</v>
      </c>
    </row>
    <row r="613" spans="1:18" x14ac:dyDescent="0.2">
      <c r="A613" t="s">
        <v>3741</v>
      </c>
      <c r="B613" t="s">
        <v>119</v>
      </c>
      <c r="C613" t="s">
        <v>2829</v>
      </c>
      <c r="D613" t="s">
        <v>2830</v>
      </c>
      <c r="E613" t="s">
        <v>3742</v>
      </c>
      <c r="F613" t="s">
        <v>3291</v>
      </c>
      <c r="G613" t="s">
        <v>3737</v>
      </c>
      <c r="H613" s="2" t="s">
        <v>3871</v>
      </c>
      <c r="I613" t="s">
        <v>3743</v>
      </c>
      <c r="J613">
        <v>3042.84</v>
      </c>
      <c r="K613">
        <v>485124.8</v>
      </c>
      <c r="L613">
        <v>557893.53</v>
      </c>
      <c r="M613" t="s">
        <v>3739</v>
      </c>
      <c r="N613" t="s">
        <v>19</v>
      </c>
      <c r="O613" t="s">
        <v>19</v>
      </c>
      <c r="P613" t="s">
        <v>3740</v>
      </c>
      <c r="Q613">
        <v>1</v>
      </c>
      <c r="R613" t="s">
        <v>3876</v>
      </c>
    </row>
    <row r="614" spans="1:18" x14ac:dyDescent="0.2">
      <c r="A614" t="s">
        <v>3746</v>
      </c>
      <c r="B614" t="s">
        <v>119</v>
      </c>
      <c r="C614" t="s">
        <v>1258</v>
      </c>
      <c r="D614" t="s">
        <v>1451</v>
      </c>
      <c r="E614" t="s">
        <v>3747</v>
      </c>
      <c r="F614" t="s">
        <v>3291</v>
      </c>
      <c r="G614" t="s">
        <v>3737</v>
      </c>
      <c r="H614" s="2" t="s">
        <v>3871</v>
      </c>
      <c r="I614" t="s">
        <v>3748</v>
      </c>
      <c r="J614">
        <v>3042.84</v>
      </c>
      <c r="K614">
        <v>3042.84</v>
      </c>
      <c r="L614">
        <v>3499.27</v>
      </c>
      <c r="M614" t="s">
        <v>3744</v>
      </c>
      <c r="N614" t="s">
        <v>19</v>
      </c>
      <c r="O614" t="s">
        <v>19</v>
      </c>
      <c r="P614" t="s">
        <v>3745</v>
      </c>
      <c r="Q614">
        <v>1</v>
      </c>
      <c r="R614" t="s">
        <v>3876</v>
      </c>
    </row>
    <row r="615" spans="1:18" x14ac:dyDescent="0.2">
      <c r="A615" t="s">
        <v>3751</v>
      </c>
      <c r="B615" t="s">
        <v>3752</v>
      </c>
      <c r="C615" t="s">
        <v>1853</v>
      </c>
      <c r="D615" t="s">
        <v>3753</v>
      </c>
      <c r="E615" t="s">
        <v>3754</v>
      </c>
      <c r="F615" t="s">
        <v>854</v>
      </c>
      <c r="G615" t="s">
        <v>855</v>
      </c>
      <c r="H615" s="2" t="s">
        <v>3871</v>
      </c>
      <c r="I615" t="s">
        <v>3755</v>
      </c>
      <c r="J615">
        <v>134219.78</v>
      </c>
      <c r="K615">
        <v>3042.84</v>
      </c>
      <c r="L615">
        <v>3499.27</v>
      </c>
      <c r="M615" t="s">
        <v>3749</v>
      </c>
      <c r="N615" t="s">
        <v>19</v>
      </c>
      <c r="O615" t="s">
        <v>19</v>
      </c>
      <c r="P615" t="s">
        <v>3750</v>
      </c>
      <c r="Q615">
        <v>10</v>
      </c>
      <c r="R615" t="s">
        <v>3876</v>
      </c>
    </row>
    <row r="616" spans="1:18" x14ac:dyDescent="0.2">
      <c r="A616" t="s">
        <v>3758</v>
      </c>
      <c r="B616" t="s">
        <v>266</v>
      </c>
      <c r="C616" t="s">
        <v>268</v>
      </c>
      <c r="D616" t="s">
        <v>268</v>
      </c>
      <c r="E616" t="s">
        <v>3759</v>
      </c>
      <c r="F616" t="s">
        <v>854</v>
      </c>
      <c r="G616" t="s">
        <v>855</v>
      </c>
      <c r="H616" t="s">
        <v>3872</v>
      </c>
      <c r="I616" t="s">
        <v>3760</v>
      </c>
      <c r="J616">
        <v>1535.57</v>
      </c>
      <c r="K616">
        <v>134219.78</v>
      </c>
      <c r="L616">
        <v>154352.75</v>
      </c>
      <c r="M616" t="s">
        <v>3756</v>
      </c>
      <c r="N616" t="s">
        <v>19</v>
      </c>
      <c r="O616" t="s">
        <v>19</v>
      </c>
      <c r="P616" t="s">
        <v>3757</v>
      </c>
      <c r="Q616">
        <v>0</v>
      </c>
      <c r="R616" t="s">
        <v>3876</v>
      </c>
    </row>
    <row r="617" spans="1:18" x14ac:dyDescent="0.2">
      <c r="A617" t="s">
        <v>3763</v>
      </c>
      <c r="B617" t="s">
        <v>1572</v>
      </c>
      <c r="C617" t="s">
        <v>1573</v>
      </c>
      <c r="D617" t="s">
        <v>1573</v>
      </c>
      <c r="E617" t="s">
        <v>3764</v>
      </c>
      <c r="F617" t="s">
        <v>854</v>
      </c>
      <c r="G617" t="s">
        <v>855</v>
      </c>
      <c r="H617" t="s">
        <v>3872</v>
      </c>
      <c r="I617" t="s">
        <v>3765</v>
      </c>
      <c r="J617">
        <v>2008.87</v>
      </c>
      <c r="K617">
        <v>1535.57</v>
      </c>
      <c r="L617">
        <v>1765.91</v>
      </c>
      <c r="M617" t="s">
        <v>3761</v>
      </c>
      <c r="N617" t="s">
        <v>19</v>
      </c>
      <c r="O617" t="s">
        <v>18</v>
      </c>
      <c r="P617" t="s">
        <v>3762</v>
      </c>
      <c r="Q617">
        <v>0</v>
      </c>
      <c r="R617" t="s">
        <v>3876</v>
      </c>
    </row>
    <row r="618" spans="1:18" x14ac:dyDescent="0.2">
      <c r="A618" t="s">
        <v>3768</v>
      </c>
      <c r="B618" t="s">
        <v>3769</v>
      </c>
      <c r="C618" t="s">
        <v>3771</v>
      </c>
      <c r="D618" t="s">
        <v>3770</v>
      </c>
      <c r="E618" t="s">
        <v>3772</v>
      </c>
      <c r="F618" t="s">
        <v>854</v>
      </c>
      <c r="G618" t="s">
        <v>855</v>
      </c>
      <c r="H618" t="s">
        <v>3872</v>
      </c>
      <c r="I618" t="s">
        <v>3773</v>
      </c>
      <c r="J618">
        <v>11685</v>
      </c>
      <c r="K618">
        <v>2008.87</v>
      </c>
      <c r="L618">
        <v>2310.21</v>
      </c>
      <c r="M618" t="s">
        <v>3766</v>
      </c>
      <c r="N618" t="s">
        <v>19</v>
      </c>
      <c r="O618" t="s">
        <v>18</v>
      </c>
      <c r="P618" t="s">
        <v>3767</v>
      </c>
      <c r="Q618">
        <v>0</v>
      </c>
      <c r="R618" t="s">
        <v>3876</v>
      </c>
    </row>
    <row r="619" spans="1:18" x14ac:dyDescent="0.2">
      <c r="A619" t="s">
        <v>3776</v>
      </c>
      <c r="B619" t="s">
        <v>3631</v>
      </c>
      <c r="C619" t="s">
        <v>3632</v>
      </c>
      <c r="D619" t="s">
        <v>3632</v>
      </c>
      <c r="E619" t="s">
        <v>3777</v>
      </c>
      <c r="F619" t="s">
        <v>854</v>
      </c>
      <c r="G619" t="s">
        <v>855</v>
      </c>
      <c r="H619" t="s">
        <v>3872</v>
      </c>
      <c r="I619" t="s">
        <v>3778</v>
      </c>
      <c r="J619">
        <v>1624.5</v>
      </c>
      <c r="K619">
        <v>11685</v>
      </c>
      <c r="L619">
        <v>13437.75</v>
      </c>
      <c r="M619" t="s">
        <v>3774</v>
      </c>
      <c r="N619" t="s">
        <v>19</v>
      </c>
      <c r="O619" t="s">
        <v>18</v>
      </c>
      <c r="P619" t="s">
        <v>3775</v>
      </c>
      <c r="Q619">
        <v>0</v>
      </c>
      <c r="R619" t="s">
        <v>3878</v>
      </c>
    </row>
    <row r="620" spans="1:18" x14ac:dyDescent="0.2">
      <c r="A620" t="s">
        <v>3781</v>
      </c>
      <c r="B620" t="s">
        <v>1323</v>
      </c>
      <c r="C620" t="s">
        <v>1258</v>
      </c>
      <c r="D620" t="s">
        <v>1324</v>
      </c>
      <c r="E620" t="s">
        <v>3782</v>
      </c>
      <c r="F620" t="s">
        <v>854</v>
      </c>
      <c r="G620" t="s">
        <v>855</v>
      </c>
      <c r="H620" s="2" t="s">
        <v>3871</v>
      </c>
      <c r="I620" t="s">
        <v>3783</v>
      </c>
      <c r="J620">
        <v>26082.05</v>
      </c>
      <c r="K620">
        <v>1624.5</v>
      </c>
      <c r="L620">
        <v>1868.18</v>
      </c>
      <c r="M620" t="s">
        <v>3779</v>
      </c>
      <c r="N620" t="s">
        <v>19</v>
      </c>
      <c r="O620" t="s">
        <v>19</v>
      </c>
      <c r="P620" t="s">
        <v>3780</v>
      </c>
      <c r="Q620">
        <v>2</v>
      </c>
      <c r="R620" t="s">
        <v>3878</v>
      </c>
    </row>
    <row r="621" spans="1:18" x14ac:dyDescent="0.2">
      <c r="A621" t="s">
        <v>3786</v>
      </c>
      <c r="B621" t="s">
        <v>3787</v>
      </c>
      <c r="C621" t="s">
        <v>3788</v>
      </c>
      <c r="D621" t="s">
        <v>3789</v>
      </c>
      <c r="E621" t="s">
        <v>3790</v>
      </c>
      <c r="F621" t="s">
        <v>854</v>
      </c>
      <c r="G621" t="s">
        <v>855</v>
      </c>
      <c r="H621" t="s">
        <v>3872</v>
      </c>
      <c r="I621" t="s">
        <v>3791</v>
      </c>
      <c r="J621">
        <v>21207.69</v>
      </c>
      <c r="K621">
        <v>26082.05</v>
      </c>
      <c r="L621">
        <v>29994.35</v>
      </c>
      <c r="M621" t="s">
        <v>3784</v>
      </c>
      <c r="N621" t="s">
        <v>19</v>
      </c>
      <c r="O621" t="s">
        <v>19</v>
      </c>
      <c r="P621" t="s">
        <v>3785</v>
      </c>
      <c r="Q621">
        <v>2</v>
      </c>
      <c r="R621" t="s">
        <v>3878</v>
      </c>
    </row>
    <row r="622" spans="1:18" x14ac:dyDescent="0.2">
      <c r="A622" t="s">
        <v>3794</v>
      </c>
      <c r="B622" t="s">
        <v>1710</v>
      </c>
      <c r="C622" t="s">
        <v>759</v>
      </c>
      <c r="D622" t="s">
        <v>160</v>
      </c>
      <c r="E622" t="s">
        <v>3795</v>
      </c>
      <c r="F622" t="s">
        <v>854</v>
      </c>
      <c r="G622" t="s">
        <v>855</v>
      </c>
      <c r="H622" t="s">
        <v>3872</v>
      </c>
      <c r="I622" t="s">
        <v>3796</v>
      </c>
      <c r="J622">
        <v>76664.12</v>
      </c>
      <c r="K622">
        <v>21207.69</v>
      </c>
      <c r="L622">
        <v>24388.84</v>
      </c>
      <c r="M622" t="s">
        <v>3792</v>
      </c>
      <c r="N622" t="s">
        <v>19</v>
      </c>
      <c r="O622" t="s">
        <v>772</v>
      </c>
      <c r="P622" t="s">
        <v>3793</v>
      </c>
      <c r="Q622">
        <v>7</v>
      </c>
      <c r="R622" t="s">
        <v>3876</v>
      </c>
    </row>
    <row r="623" spans="1:18" x14ac:dyDescent="0.2">
      <c r="A623" t="s">
        <v>3799</v>
      </c>
      <c r="B623" t="s">
        <v>3666</v>
      </c>
      <c r="C623" t="s">
        <v>14</v>
      </c>
      <c r="D623" t="s">
        <v>14</v>
      </c>
      <c r="E623" t="s">
        <v>3800</v>
      </c>
      <c r="F623" t="s">
        <v>3801</v>
      </c>
      <c r="G623" t="s">
        <v>3802</v>
      </c>
      <c r="H623" t="s">
        <v>3872</v>
      </c>
      <c r="I623" t="s">
        <v>3668</v>
      </c>
      <c r="J623">
        <v>6625.06</v>
      </c>
      <c r="K623">
        <v>76664.12</v>
      </c>
      <c r="L623">
        <v>88163.74</v>
      </c>
      <c r="M623" t="s">
        <v>3797</v>
      </c>
      <c r="N623" t="s">
        <v>19</v>
      </c>
      <c r="O623" t="s">
        <v>19</v>
      </c>
      <c r="P623" t="s">
        <v>3798</v>
      </c>
      <c r="Q623">
        <v>1</v>
      </c>
      <c r="R623" t="s">
        <v>3878</v>
      </c>
    </row>
    <row r="624" spans="1:18" x14ac:dyDescent="0.2">
      <c r="A624" t="s">
        <v>3805</v>
      </c>
      <c r="B624" t="s">
        <v>3806</v>
      </c>
      <c r="C624" t="s">
        <v>14</v>
      </c>
      <c r="D624" t="s">
        <v>14</v>
      </c>
      <c r="E624" t="s">
        <v>3807</v>
      </c>
      <c r="F624" t="s">
        <v>3203</v>
      </c>
      <c r="G624" t="s">
        <v>3808</v>
      </c>
      <c r="H624" t="s">
        <v>3872</v>
      </c>
      <c r="I624" t="s">
        <v>3809</v>
      </c>
      <c r="J624">
        <v>50165</v>
      </c>
      <c r="K624">
        <v>6625.06</v>
      </c>
      <c r="L624">
        <v>7618.82</v>
      </c>
      <c r="M624" t="s">
        <v>3803</v>
      </c>
      <c r="N624" t="s">
        <v>19</v>
      </c>
      <c r="O624" t="s">
        <v>772</v>
      </c>
      <c r="P624" t="s">
        <v>3804</v>
      </c>
      <c r="Q624">
        <v>2</v>
      </c>
      <c r="R624" t="s">
        <v>3876</v>
      </c>
    </row>
    <row r="625" spans="1:18" x14ac:dyDescent="0.2">
      <c r="A625" t="s">
        <v>3812</v>
      </c>
      <c r="B625" t="s">
        <v>481</v>
      </c>
      <c r="C625" t="s">
        <v>483</v>
      </c>
      <c r="D625" t="s">
        <v>483</v>
      </c>
      <c r="E625" t="s">
        <v>3813</v>
      </c>
      <c r="F625" t="s">
        <v>3203</v>
      </c>
      <c r="G625" t="s">
        <v>3808</v>
      </c>
      <c r="H625" t="s">
        <v>3872</v>
      </c>
      <c r="I625" t="s">
        <v>3814</v>
      </c>
      <c r="J625">
        <v>8166.38</v>
      </c>
      <c r="K625">
        <v>50165</v>
      </c>
      <c r="L625">
        <v>57689.75</v>
      </c>
      <c r="M625" t="s">
        <v>3810</v>
      </c>
      <c r="N625" t="s">
        <v>19</v>
      </c>
      <c r="O625" t="s">
        <v>18</v>
      </c>
      <c r="P625" t="s">
        <v>3811</v>
      </c>
      <c r="Q625">
        <v>1</v>
      </c>
      <c r="R625" t="s">
        <v>3876</v>
      </c>
    </row>
    <row r="626" spans="1:18" x14ac:dyDescent="0.2">
      <c r="A626" t="s">
        <v>3817</v>
      </c>
      <c r="B626" t="s">
        <v>311</v>
      </c>
      <c r="C626" t="s">
        <v>313</v>
      </c>
      <c r="D626" t="s">
        <v>313</v>
      </c>
      <c r="E626" t="s">
        <v>3818</v>
      </c>
      <c r="F626" t="s">
        <v>3203</v>
      </c>
      <c r="G626" t="s">
        <v>3808</v>
      </c>
      <c r="H626" t="s">
        <v>3872</v>
      </c>
      <c r="I626" t="s">
        <v>3819</v>
      </c>
      <c r="J626">
        <v>6625.06</v>
      </c>
      <c r="K626">
        <v>8166.38</v>
      </c>
      <c r="L626">
        <v>9391.34</v>
      </c>
      <c r="M626" t="s">
        <v>3815</v>
      </c>
      <c r="N626" t="s">
        <v>19</v>
      </c>
      <c r="O626" t="s">
        <v>19</v>
      </c>
      <c r="P626" t="s">
        <v>3816</v>
      </c>
      <c r="Q626">
        <v>1</v>
      </c>
      <c r="R626" t="s">
        <v>3876</v>
      </c>
    </row>
    <row r="627" spans="1:18" x14ac:dyDescent="0.2">
      <c r="A627" t="s">
        <v>3822</v>
      </c>
      <c r="B627" t="s">
        <v>3823</v>
      </c>
      <c r="C627" t="s">
        <v>3824</v>
      </c>
      <c r="D627" t="s">
        <v>3824</v>
      </c>
      <c r="E627" t="s">
        <v>3825</v>
      </c>
      <c r="F627" t="s">
        <v>3203</v>
      </c>
      <c r="G627" t="s">
        <v>3808</v>
      </c>
      <c r="H627" t="s">
        <v>3872</v>
      </c>
      <c r="I627" t="s">
        <v>3826</v>
      </c>
      <c r="J627">
        <v>11433.88</v>
      </c>
      <c r="K627">
        <v>6625.06</v>
      </c>
      <c r="L627">
        <v>7618.82</v>
      </c>
      <c r="M627" t="s">
        <v>3820</v>
      </c>
      <c r="N627" t="s">
        <v>19</v>
      </c>
      <c r="O627" t="s">
        <v>18</v>
      </c>
      <c r="P627" t="s">
        <v>3821</v>
      </c>
      <c r="Q627">
        <v>2</v>
      </c>
      <c r="R627" t="s">
        <v>3876</v>
      </c>
    </row>
    <row r="628" spans="1:18" x14ac:dyDescent="0.2">
      <c r="A628" t="s">
        <v>3829</v>
      </c>
      <c r="B628" t="s">
        <v>335</v>
      </c>
      <c r="C628" t="s">
        <v>14</v>
      </c>
      <c r="D628" t="s">
        <v>336</v>
      </c>
      <c r="E628" t="s">
        <v>3830</v>
      </c>
      <c r="F628" t="s">
        <v>3330</v>
      </c>
      <c r="G628" t="s">
        <v>3331</v>
      </c>
      <c r="H628" s="2" t="s">
        <v>3871</v>
      </c>
      <c r="I628" t="s">
        <v>3831</v>
      </c>
      <c r="J628">
        <v>14065.24</v>
      </c>
      <c r="K628">
        <v>11433.88</v>
      </c>
      <c r="L628">
        <v>13148.96</v>
      </c>
      <c r="M628" t="s">
        <v>3827</v>
      </c>
      <c r="N628" t="s">
        <v>19</v>
      </c>
      <c r="O628" t="s">
        <v>15</v>
      </c>
      <c r="P628" t="s">
        <v>3828</v>
      </c>
      <c r="Q628">
        <v>1</v>
      </c>
      <c r="R628" t="s">
        <v>3880</v>
      </c>
    </row>
    <row r="629" spans="1:18" x14ac:dyDescent="0.2">
      <c r="A629" t="s">
        <v>3833</v>
      </c>
      <c r="B629" t="s">
        <v>3834</v>
      </c>
      <c r="C629" t="s">
        <v>3834</v>
      </c>
      <c r="D629" t="s">
        <v>3835</v>
      </c>
      <c r="E629" t="s">
        <v>3836</v>
      </c>
      <c r="F629" t="s">
        <v>3330</v>
      </c>
      <c r="G629" t="s">
        <v>3331</v>
      </c>
      <c r="H629" t="s">
        <v>3872</v>
      </c>
      <c r="I629" t="s">
        <v>3837</v>
      </c>
      <c r="J629">
        <v>19916.560000000001</v>
      </c>
      <c r="K629">
        <v>14065.24</v>
      </c>
      <c r="L629">
        <v>16175.03</v>
      </c>
      <c r="M629" t="s">
        <v>3832</v>
      </c>
      <c r="N629" t="s">
        <v>19</v>
      </c>
      <c r="O629" t="s">
        <v>19</v>
      </c>
      <c r="P629" t="s">
        <v>3832</v>
      </c>
      <c r="Q629">
        <v>10</v>
      </c>
      <c r="R629" t="s">
        <v>3878</v>
      </c>
    </row>
    <row r="630" spans="1:18" x14ac:dyDescent="0.2">
      <c r="A630" t="s">
        <v>3840</v>
      </c>
      <c r="B630" t="s">
        <v>440</v>
      </c>
      <c r="C630" t="s">
        <v>113</v>
      </c>
      <c r="D630" t="s">
        <v>3188</v>
      </c>
      <c r="E630" t="s">
        <v>3841</v>
      </c>
      <c r="F630" t="s">
        <v>3174</v>
      </c>
      <c r="G630" t="s">
        <v>3842</v>
      </c>
      <c r="H630" s="2" t="s">
        <v>3871</v>
      </c>
      <c r="I630" t="s">
        <v>3843</v>
      </c>
      <c r="J630">
        <v>9561.84</v>
      </c>
      <c r="K630">
        <v>19916.560000000001</v>
      </c>
      <c r="L630">
        <v>22904.05</v>
      </c>
      <c r="M630" t="s">
        <v>3838</v>
      </c>
      <c r="N630" t="s">
        <v>19</v>
      </c>
      <c r="O630" t="s">
        <v>19</v>
      </c>
      <c r="P630" t="s">
        <v>3839</v>
      </c>
      <c r="Q630">
        <v>1</v>
      </c>
      <c r="R630" t="s">
        <v>3876</v>
      </c>
    </row>
    <row r="631" spans="1:18" x14ac:dyDescent="0.2">
      <c r="A631" t="s">
        <v>3846</v>
      </c>
      <c r="B631" t="s">
        <v>440</v>
      </c>
      <c r="C631" t="s">
        <v>113</v>
      </c>
      <c r="D631" t="s">
        <v>3188</v>
      </c>
      <c r="E631" t="s">
        <v>3847</v>
      </c>
      <c r="F631" t="s">
        <v>3174</v>
      </c>
      <c r="G631" t="s">
        <v>3842</v>
      </c>
      <c r="H631" s="2" t="s">
        <v>3871</v>
      </c>
      <c r="I631" t="s">
        <v>3848</v>
      </c>
      <c r="J631">
        <v>2943</v>
      </c>
      <c r="K631">
        <v>9561.84</v>
      </c>
      <c r="L631">
        <v>10996.12</v>
      </c>
      <c r="M631" t="s">
        <v>3844</v>
      </c>
      <c r="N631" t="s">
        <v>19</v>
      </c>
      <c r="O631" t="s">
        <v>19</v>
      </c>
      <c r="P631" t="s">
        <v>3845</v>
      </c>
      <c r="Q631">
        <v>0</v>
      </c>
      <c r="R631" t="s">
        <v>3878</v>
      </c>
    </row>
    <row r="632" spans="1:18" x14ac:dyDescent="0.2">
      <c r="A632" t="s">
        <v>3851</v>
      </c>
      <c r="B632" t="s">
        <v>481</v>
      </c>
      <c r="C632" t="s">
        <v>483</v>
      </c>
      <c r="D632" t="s">
        <v>483</v>
      </c>
      <c r="E632" t="s">
        <v>3852</v>
      </c>
      <c r="F632" t="s">
        <v>3174</v>
      </c>
      <c r="G632" t="s">
        <v>3842</v>
      </c>
      <c r="H632" t="s">
        <v>3872</v>
      </c>
      <c r="I632" t="s">
        <v>3814</v>
      </c>
      <c r="J632">
        <v>5468.65</v>
      </c>
      <c r="K632">
        <v>2943</v>
      </c>
      <c r="L632">
        <v>3384.45</v>
      </c>
      <c r="M632" t="s">
        <v>3849</v>
      </c>
      <c r="N632" t="s">
        <v>19</v>
      </c>
      <c r="O632" t="s">
        <v>19</v>
      </c>
      <c r="P632" t="s">
        <v>3850</v>
      </c>
      <c r="Q632">
        <v>1</v>
      </c>
      <c r="R632" t="s">
        <v>3876</v>
      </c>
    </row>
    <row r="633" spans="1:18" x14ac:dyDescent="0.2">
      <c r="A633" t="s">
        <v>3855</v>
      </c>
      <c r="B633" t="s">
        <v>217</v>
      </c>
      <c r="C633" t="s">
        <v>121</v>
      </c>
      <c r="D633" t="s">
        <v>219</v>
      </c>
      <c r="E633" t="s">
        <v>220</v>
      </c>
      <c r="F633" t="s">
        <v>3856</v>
      </c>
      <c r="G633" t="s">
        <v>3857</v>
      </c>
      <c r="H633" s="2" t="s">
        <v>3871</v>
      </c>
      <c r="I633" t="s">
        <v>3858</v>
      </c>
      <c r="J633">
        <v>39504.46</v>
      </c>
      <c r="K633">
        <v>5468.65</v>
      </c>
      <c r="L633">
        <v>6288.96</v>
      </c>
      <c r="M633" t="s">
        <v>3853</v>
      </c>
      <c r="N633" t="s">
        <v>19</v>
      </c>
      <c r="O633" t="s">
        <v>19</v>
      </c>
      <c r="P633" t="s">
        <v>3854</v>
      </c>
      <c r="Q633">
        <v>10</v>
      </c>
      <c r="R633" t="s">
        <v>3876</v>
      </c>
    </row>
    <row r="634" spans="1:18" x14ac:dyDescent="0.2">
      <c r="A634" t="s">
        <v>3861</v>
      </c>
      <c r="B634" t="s">
        <v>3862</v>
      </c>
      <c r="C634" t="s">
        <v>14</v>
      </c>
      <c r="D634" t="s">
        <v>14</v>
      </c>
      <c r="E634" t="s">
        <v>3863</v>
      </c>
      <c r="F634" t="s">
        <v>3864</v>
      </c>
      <c r="G634" t="s">
        <v>3865</v>
      </c>
      <c r="H634" s="2" t="s">
        <v>3871</v>
      </c>
      <c r="I634" t="s">
        <v>3866</v>
      </c>
      <c r="J634">
        <v>13111.97</v>
      </c>
      <c r="K634">
        <v>39504.46</v>
      </c>
      <c r="L634">
        <v>45430.13</v>
      </c>
      <c r="M634" t="s">
        <v>3859</v>
      </c>
      <c r="N634" t="s">
        <v>19</v>
      </c>
      <c r="O634" t="s">
        <v>772</v>
      </c>
      <c r="P634" t="s">
        <v>3860</v>
      </c>
      <c r="Q634">
        <v>1</v>
      </c>
      <c r="R634" t="s">
        <v>3876</v>
      </c>
    </row>
    <row r="635" spans="1:18" x14ac:dyDescent="0.2">
      <c r="A635" t="s">
        <v>3869</v>
      </c>
      <c r="B635" t="s">
        <v>3862</v>
      </c>
      <c r="C635" t="s">
        <v>14</v>
      </c>
      <c r="D635" t="s">
        <v>14</v>
      </c>
      <c r="E635" t="s">
        <v>3870</v>
      </c>
      <c r="F635" t="s">
        <v>3864</v>
      </c>
      <c r="G635" t="s">
        <v>3865</v>
      </c>
      <c r="H635" s="2" t="s">
        <v>3871</v>
      </c>
      <c r="I635" t="s">
        <v>3866</v>
      </c>
      <c r="J635">
        <v>11715.47</v>
      </c>
      <c r="K635">
        <v>13111.97</v>
      </c>
      <c r="L635">
        <v>15078.77</v>
      </c>
      <c r="M635" t="s">
        <v>3867</v>
      </c>
      <c r="N635" t="s">
        <v>19</v>
      </c>
      <c r="O635" t="s">
        <v>15</v>
      </c>
      <c r="P635" t="s">
        <v>3868</v>
      </c>
      <c r="Q635">
        <v>1</v>
      </c>
      <c r="R635" t="s">
        <v>3876</v>
      </c>
    </row>
  </sheetData>
  <autoFilter ref="A1:AA63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Quote List</vt:lpstr>
    </vt:vector>
  </TitlesOfParts>
  <Company>ServCraft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ServCraft Report</dc:title>
  <dc:subject>ServCraft Simple Excel Report</dc:subject>
  <dc:creator>ServCraft</dc:creator>
  <cp:keywords>Office Open XML</cp:keywords>
  <cp:lastModifiedBy>Susan Cornelius</cp:lastModifiedBy>
  <dcterms:modified xsi:type="dcterms:W3CDTF">2026-06-03T09:57:37Z</dcterms:modified>
  <cp:category>ServCraft Reports</cp:category>
</cp:coreProperties>
</file>