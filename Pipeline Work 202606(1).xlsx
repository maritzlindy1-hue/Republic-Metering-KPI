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<sst xmlns="http://schemas.openxmlformats.org/spreadsheetml/2006/main" uniqueCount="28">
  <si>
    <t>Quote Number</t>
  </si>
  <si>
    <t>Site</t>
  </si>
  <si>
    <t>Total Exclusive</t>
  </si>
  <si>
    <t>Quantity of Meters</t>
  </si>
  <si>
    <t>QU3400</t>
  </si>
  <si>
    <t>Fibonacci</t>
  </si>
  <si>
    <t>QU3256</t>
  </si>
  <si>
    <t>Peer Works</t>
  </si>
  <si>
    <t>QU3678</t>
  </si>
  <si>
    <t>Marine Works</t>
  </si>
  <si>
    <t>QU3640</t>
  </si>
  <si>
    <t>4 Paws Inn</t>
  </si>
  <si>
    <t>QU3645</t>
  </si>
  <si>
    <t>Apex</t>
  </si>
  <si>
    <t>QU3644</t>
  </si>
  <si>
    <t>Bonitas</t>
  </si>
  <si>
    <t>QU3476</t>
  </si>
  <si>
    <t>Maitland Water Retrofit</t>
  </si>
  <si>
    <t>QU3636</t>
  </si>
  <si>
    <t>Marconi Centre</t>
  </si>
  <si>
    <t>QU3214</t>
  </si>
  <si>
    <t>Nautica Water Retrofit</t>
  </si>
  <si>
    <t>QU3635</t>
  </si>
  <si>
    <t>Spearhead Business Park</t>
  </si>
  <si>
    <t>QU3647</t>
  </si>
  <si>
    <t>The Arcade</t>
  </si>
  <si>
    <t>QU3621</t>
  </si>
  <si>
    <t>Erand Gardens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</si>
</sst>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R&quot;* #,##0.00&quot; &quot;;&quot; R&quot;* (#,##0.00);&quot; R&quot;* &quot;-&quot;??&quot; &quot;"/>
  </numFmts>
  <fonts count="6">
    <font>
      <sz val="12"/>
      <color indexed="8"/>
      <name val="Aptos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Aptos Narrow"/>
    </font>
    <font>
      <sz val="10"/>
      <color indexed="8"/>
      <name val="Arial"/>
    </font>
    <font>
      <b val="1"/>
      <sz val="12"/>
      <color indexed="8"/>
      <name val="Aptos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fillId="3" borderId="4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59" fontId="4" fillId="3" borderId="5" applyNumberFormat="1" applyFont="1" applyFill="1" applyBorder="1" applyAlignment="1" applyProtection="0">
      <alignment horizontal="center" vertical="bottom"/>
    </xf>
    <xf numFmtId="59" fontId="4" fillId="3" borderId="5" applyNumberFormat="1" applyFont="1" applyFill="1" applyBorder="1" applyAlignment="1" applyProtection="0">
      <alignment vertical="bottom"/>
    </xf>
    <xf numFmtId="59" fontId="5" fillId="3" borderId="5" applyNumberFormat="1" applyFont="1" applyFill="1" applyBorder="1" applyAlignment="1" applyProtection="0">
      <alignment vertical="bottom"/>
    </xf>
    <xf numFmtId="0" fontId="5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36ac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10.8333" defaultRowHeight="16" customHeight="1" outlineLevelRow="0" outlineLevelCol="0"/>
  <cols>
    <col min="1" max="1" width="11" style="1" customWidth="1"/>
    <col min="2" max="2" width="23.3516" style="1" customWidth="1"/>
    <col min="3" max="3" width="13.8516" style="1" customWidth="1"/>
    <col min="4" max="4" width="13.3516" style="1" customWidth="1"/>
    <col min="5" max="5" width="10.8516" style="1" customWidth="1"/>
    <col min="6" max="16384" width="10.8516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7" customHeight="1">
      <c r="A2" t="s" s="5">
        <v>4</v>
      </c>
      <c r="B2" t="s" s="5">
        <v>5</v>
      </c>
      <c r="C2" s="6" cm="1">
        <f t="array" ref="C2">2208600.24+147553.16+1279855</f>
        <v>3636008.4</v>
      </c>
      <c r="D2" s="7" cm="1">
        <f t="array" ref="D2">1149+574+8+17</f>
        <v>1748</v>
      </c>
      <c r="E2" s="8"/>
    </row>
    <row r="3" ht="17" customHeight="1">
      <c r="A3" t="s" s="9">
        <v>6</v>
      </c>
      <c r="B3" t="s" s="9">
        <v>7</v>
      </c>
      <c r="C3" s="10">
        <v>110683.21</v>
      </c>
      <c r="D3" s="11">
        <v>17</v>
      </c>
      <c r="E3" s="8"/>
    </row>
    <row r="4" ht="17" customHeight="1">
      <c r="A4" t="s" s="9">
        <v>8</v>
      </c>
      <c r="B4" t="s" s="9">
        <v>9</v>
      </c>
      <c r="C4" s="10">
        <v>127066.17</v>
      </c>
      <c r="D4" s="11">
        <v>23</v>
      </c>
      <c r="E4" s="8"/>
    </row>
    <row r="5" ht="17" customHeight="1">
      <c r="A5" t="s" s="9">
        <v>10</v>
      </c>
      <c r="B5" t="s" s="9">
        <v>11</v>
      </c>
      <c r="C5" s="10">
        <v>13805.64</v>
      </c>
      <c r="D5" s="11">
        <v>3</v>
      </c>
      <c r="E5" s="8"/>
    </row>
    <row r="6" ht="17" customHeight="1">
      <c r="A6" t="s" s="9">
        <v>12</v>
      </c>
      <c r="B6" t="s" s="9">
        <v>13</v>
      </c>
      <c r="C6" s="10">
        <v>87085.649999999994</v>
      </c>
      <c r="D6" s="11">
        <v>19</v>
      </c>
      <c r="E6" s="8"/>
    </row>
    <row r="7" ht="17" customHeight="1">
      <c r="A7" t="s" s="9">
        <v>14</v>
      </c>
      <c r="B7" t="s" s="9">
        <v>15</v>
      </c>
      <c r="C7" s="10">
        <v>169476.26</v>
      </c>
      <c r="D7" s="11">
        <v>33</v>
      </c>
      <c r="E7" s="8"/>
    </row>
    <row r="8" ht="17" customHeight="1">
      <c r="A8" t="s" s="9">
        <v>16</v>
      </c>
      <c r="B8" t="s" s="9">
        <v>17</v>
      </c>
      <c r="C8" s="12" cm="1">
        <f t="array" ref="C8">55831.2</f>
        <v>55831.2</v>
      </c>
      <c r="D8" s="11">
        <v>28</v>
      </c>
      <c r="E8" s="8"/>
    </row>
    <row r="9" ht="17" customHeight="1">
      <c r="A9" t="s" s="9">
        <v>18</v>
      </c>
      <c r="B9" t="s" s="9">
        <v>19</v>
      </c>
      <c r="C9" s="13">
        <v>229316.96</v>
      </c>
      <c r="D9" s="11">
        <v>37</v>
      </c>
      <c r="E9" s="8"/>
    </row>
    <row r="10" ht="17" customHeight="1">
      <c r="A10" t="s" s="9">
        <v>20</v>
      </c>
      <c r="B10" t="s" s="9">
        <v>21</v>
      </c>
      <c r="C10" s="12" cm="1">
        <f t="array" ref="C10">68651.47</f>
        <v>68651.47</v>
      </c>
      <c r="D10" s="11">
        <v>31</v>
      </c>
      <c r="E10" s="8"/>
    </row>
    <row r="11" ht="17" customHeight="1">
      <c r="A11" t="s" s="9">
        <v>22</v>
      </c>
      <c r="B11" t="s" s="9">
        <v>23</v>
      </c>
      <c r="C11" s="10">
        <v>733599.86</v>
      </c>
      <c r="D11" s="11">
        <v>156</v>
      </c>
      <c r="E11" s="8"/>
    </row>
    <row r="12" ht="17" customHeight="1">
      <c r="A12" t="s" s="9">
        <v>24</v>
      </c>
      <c r="B12" t="s" s="9">
        <v>25</v>
      </c>
      <c r="C12" s="10">
        <v>485124.8</v>
      </c>
      <c r="D12" s="11">
        <v>105</v>
      </c>
      <c r="E12" s="8"/>
    </row>
    <row r="13" ht="17" customHeight="1">
      <c r="A13" t="s" s="9">
        <v>26</v>
      </c>
      <c r="B13" t="s" s="9">
        <v>27</v>
      </c>
      <c r="C13" s="10">
        <v>96326.33</v>
      </c>
      <c r="D13" s="11">
        <v>13</v>
      </c>
      <c r="E13" s="8"/>
    </row>
    <row r="14" ht="17" customHeight="1">
      <c r="A14" s="8"/>
      <c r="B14" s="8"/>
      <c r="C14" s="14"/>
      <c r="D14" s="15"/>
      <c r="E14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